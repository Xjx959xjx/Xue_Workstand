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3f90816ef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维护标准" sheetId="1" r:id="Ra4c7e24cbdd6430c"/>
    <x:sheet xmlns:r="http://schemas.openxmlformats.org/officeDocument/2006/relationships" name="需补DOU+" sheetId="2" r:id="Rd2cc775dd70045df"/>
    <x:sheet xmlns:r="http://schemas.openxmlformats.org/officeDocument/2006/relationships" name="小号维护标准" sheetId="3" r:id="R256884dcc8f0410d"/>
  </x:sheets>
</x:workbook>
</file>

<file path=xl/sharedStrings.xml><?xml version="1.0" encoding="utf-8"?>
<x:sst xmlns:x="http://schemas.openxmlformats.org/spreadsheetml/2006/main">
  <x:si>
    <x:t xml:space="preserve">【MCN事业部】自孵化账号维护标准</x:t>
  </x:si>
  <x:si>
    <x:t xml:space="preserve"/>
  </x:si>
  <x:si>
    <x:t xml:space="preserve"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x:t>
  </x:si>
  <x:si>
    <x:t xml:space="preserve">账号</x:t>
  </x:si>
  <x:si>
    <x:t xml:space="preserve">8月植入报价</x:t>
  </x:si>
  <x:si>
    <x:t xml:space="preserve">8月定制报价</x:t>
  </x:si>
  <x:si>
    <x:t xml:space="preserve">预期播放量</x:t>
  </x:si>
  <x:si>
    <x:t xml:space="preserve">预期CPM</x:t>
  </x:si>
  <x:si>
    <x:t xml:space="preserve">星图中位数
（30天）</x:t>
  </x:si>
  <x:si>
    <x:t xml:space="preserve">9月植入报价
（定制价格*70%）</x:t>
  </x:si>
  <x:si>
    <x:t xml:space="preserve">9月定制报价</x:t>
  </x:si>
  <x:si>
    <x:t xml:space="preserve">涨价比例</x:t>
  </x:si>
  <x:si>
    <x:t xml:space="preserve">目标
柱状图播放量
（定制CPM30）</x:t>
  </x:si>
  <x:si>
    <x:t xml:space="preserve">目标
星图中位数
（30天）</x:t>
  </x:si>
  <x:si>
    <x:t xml:space="preserve">抖加费用
（CPM17）</x:t>
  </x:si>
  <x:si>
    <x:t xml:space="preserve">抖加费用
（CPM20）</x:t>
  </x:si>
  <x:si>
    <x:t xml:space="preserve">柱状图播放量缺口</x:t>
  </x:si>
  <x:si>
    <x:t xml:space="preserve">千川费用
（CPM5.5）</x:t>
  </x:si>
  <x:si>
    <x:t xml:space="preserve">HKJ互动</x:t>
  </x:si>
  <x:si>
    <x:t xml:space="preserve">总维护成本</x:t>
  </x:si>
  <x:si>
    <x:t xml:space="preserve">7折+数据维护后
集团毛利</x:t>
  </x:si>
  <x:si>
    <x:t xml:space="preserve">集团毛利率</x:t>
  </x:si>
  <x:si>
    <x:t xml:space="preserve">部门毛利</x:t>
  </x:si>
  <x:si>
    <x:t xml:space="preserve">部门毛利率</x:t>
  </x:si>
  <x:si>
    <x:t xml:space="preserve">外显CPM</x:t>
  </x:si>
  <x:si>
    <x:t xml:space="preserve">播放中位数</x:t>
  </x:si>
  <x:si>
    <x:t xml:space="preserve">外显CPM（排营销）</x:t>
  </x:si>
  <x:si>
    <x:t xml:space="preserve">播放中位数（排营销）</x:t>
  </x:si>
  <x:si>
    <x:t xml:space="preserve">花无缺</x:t>
  </x:si>
  <x:si>
    <x:t xml:space="preserve">最游话说</x:t>
  </x:si>
  <x:si>
    <x:t xml:space="preserve">报告砖家</x:t>
  </x:si>
  <x:si>
    <x:t xml:space="preserve">策划克星阿强</x:t>
  </x:si>
  <x:si>
    <x:t xml:space="preserve">天机妹</x:t>
  </x:si>
  <x:si>
    <x:t xml:space="preserve">木游话说</x:t>
  </x:si>
  <x:si>
    <x:t xml:space="preserve">麦冬冬</x:t>
  </x:si>
  <x:si>
    <x:t xml:space="preserve">s</x:t>
  </x:si>
  <x:si>
    <x:t xml:space="preserve">序号</x:t>
  </x:si>
  <x:si>
    <x:t xml:space="preserve">商单</x:t>
  </x:si>
  <x:si>
    <x:t xml:space="preserve">发布链接</x:t>
  </x:si>
  <x:si>
    <x:t xml:space="preserve">是否为星图单</x:t>
  </x:si>
  <x:si>
    <x:t xml:space="preserve">已投成本</x:t>
  </x:si>
  <x:si>
    <x:t xml:space="preserve">播放量
（只算自然量加doui+）</x:t>
  </x:si>
  <x:si>
    <x:t xml:space="preserve">需补dou+</x:t>
  </x:si>
  <x:si>
    <x:t xml:space="preserve">发起申请</x:t>
  </x:si>
  <x:si>
    <x:t xml:space="preserve">投放</x:t>
  </x:si>
  <x:si>
    <x:t xml:space="preserve">昵称</x:t>
  </x:si>
  <x:si>
    <x:t xml:space="preserve">条数</x:t>
  </x:si>
  <x:si>
    <x:t xml:space="preserve">金额</x:t>
  </x:si>
  <x:si>
    <x:t xml:space="preserve">营销标的</x:t>
  </x:si>
  <x:si>
    <x:r>
      <x:rPr>
        <x:b/>
        <x:i/>
        <x:sz val="11"/>
        <x:color rgb="FF000000"/>
      </x:rPr>
      <x:t xml:space="preserve">星图播放量中位数</x:t>
    </x:r>
    <x:r>
      <x:rPr>
        <x:b/>
        <x:i/>
        <x:sz val="11"/>
        <x:color rgb="FF000000"/>
      </x:rPr>
      <x:t xml:space="preserve">
维护前</x:t>
    </x:r>
  </x:si>
  <x:si>
    <x:r>
      <x:rPr>
        <x:b/>
        <x:i/>
        <x:sz val="11"/>
        <x:color rgb="FF000000"/>
      </x:rPr>
      <x:t xml:space="preserve">星图播放量中位数</x:t>
    </x:r>
    <x:r>
      <x:rPr>
        <x:b/>
        <x:i/>
        <x:sz val="11"/>
        <x:color rgb="FF000000"/>
      </x:rPr>
      <x:t xml:space="preserve">
维护后预估</x:t>
    </x:r>
  </x:si>
  <x:si>
    <x:r>
      <x:rPr>
        <x:b/>
        <x:i/>
        <x:sz val="11"/>
        <x:color rgb="FF000000"/>
      </x:rPr>
      <x:t xml:space="preserve">预期播放量</x:t>
    </x:r>
    <x:r>
      <x:rPr>
        <x:b/>
        <x:i/>
        <x:sz val="11"/>
        <x:color rgb="FF000000"/>
      </x:rPr>
      <x:t xml:space="preserve">
维护前</x:t>
    </x:r>
  </x:si>
  <x:si>
    <x:r>
      <x:rPr>
        <x:b/>
        <x:i/>
        <x:sz val="11"/>
        <x:color rgb="FF000000"/>
      </x:rPr>
      <x:t xml:space="preserve">预期播放量</x:t>
    </x:r>
    <x:r>
      <x:rPr>
        <x:b/>
        <x:i/>
        <x:sz val="11"/>
        <x:color rgb="FF000000"/>
      </x:rPr>
      <x:t xml:space="preserve">
维护后预估（一个月后）</x:t>
    </x:r>
  </x:si>
  <x:si>
    <x:t xml:space="preserve">预期播Cpm
维护后预估（一个月后）</x:t>
  </x:si>
  <x:si>
    <x:t xml:space="preserve">千川</x:t>
  </x:si>
  <x:si>
    <x:t xml:space="preserve">dou+</x:t>
  </x:si>
  <x:si>
    <x:t xml:space="preserve">合计</x:t>
  </x:si>
  <x:si>
    <x:t xml:space="preserve">穿越火线</x:t>
  </x:si>
  <x:si>
    <x:r>
      <x:rPr>
        <x:b/>
        <x:i/>
        <x:u val="single"/>
        <x:sz val="10"/>
        <x:color rgb="FF267EF0"/>
      </x:rPr>
      <x:t xml:space="preserve">https://v.douyin.com/O_y6EZe7Pxc/</x:t>
    </x:r>
  </x:si>
  <x:si>
    <x:t xml:space="preserve">否</x:t>
  </x:si>
  <x:si>
    <x:t xml:space="preserve">/</x:t>
  </x:si>
  <x:si>
    <x:t xml:space="preserve">新天龙八部、三国火凤燎原</x:t>
  </x:si>
  <x:si>
    <x:t xml:space="preserve">仙遇</x:t>
  </x:si>
  <x:si>
    <x:r>
      <x:rPr>
        <x:b/>
        <x:i/>
        <x:u val="single"/>
        <x:sz val="10"/>
        <x:color rgb="FF267EF0"/>
        <x:rFont val="微软雅黑"/>
      </x:rPr>
      <x:t xml:space="preserve">https://v.douyin.com/bBaFptMb0cI/</x:t>
    </x:r>
  </x:si>
  <x:si>
    <x:t xml:space="preserve">三国志王道天下、新天龙八部</x:t>
  </x:si>
  <x:si>
    <x:t xml:space="preserve">雾海之下</x:t>
  </x:si>
  <x:si>
    <x:r>
      <x:rPr>
        <x:b/>
        <x:i/>
        <x:u val="single"/>
        <x:sz val="10"/>
        <x:color rgb="FF267EF0"/>
      </x:rPr>
      <x:t xml:space="preserve">https://v.douyin.com/_YVsx0qkLhY/</x:t>
    </x:r>
  </x:si>
  <x:si>
    <x:t xml:space="preserve">仙遇、应用宝</x:t>
  </x:si>
  <x:si>
    <x:t xml:space="preserve">疯狂水世界</x:t>
  </x:si>
  <x:si>
    <x:r>
      <x:rPr>
        <x:b/>
        <x:i/>
        <x:u val="single"/>
        <x:sz val="10"/>
        <x:color rgb="FF267EF0"/>
      </x:rPr>
      <x:t xml:space="preserve">https://v.douyin.com/PXOEqRrTTWE/</x:t>
    </x:r>
  </x:si>
  <x:si>
    <x:t xml:space="preserve">是</x:t>
  </x:si>
  <x:si>
    <x:t xml:space="preserve">三角洲行动、三国火凤燎原</x:t>
  </x:si>
  <x:si>
    <x:t xml:space="preserve">天龙八部</x:t>
  </x:si>
  <x:si>
    <x:r>
      <x:rPr>
        <x:b/>
        <x:i/>
        <x:u val="single"/>
        <x:sz val="10"/>
        <x:color rgb="FF267EF0"/>
      </x:rPr>
      <x:t xml:space="preserve">https://v.douyin.com/QBFbHgS_qzs/</x:t>
    </x:r>
  </x:si>
  <x:si>
    <x:t xml:space="preserve">向末日开炮、新天龙八部</x:t>
  </x:si>
  <x:si>
    <x:t xml:space="preserve">三国火凤燎原</x:t>
  </x:si>
  <x:si>
    <x:r>
      <x:rPr>
        <x:b/>
        <x:i/>
        <x:u val="single"/>
        <x:sz val="10"/>
        <x:color rgb="FF267EF0"/>
        <x:rFont val="微软雅黑"/>
      </x:rPr>
      <x:t xml:space="preserve">https://v.douyin.com/Qpj1irNXt2o/</x:t>
    </x:r>
  </x:si>
  <x:si>
    <x:t xml:space="preserve">ROG</x:t>
  </x:si>
  <x:si>
    <x:t xml:space="preserve">雅迪x绝区零</x:t>
  </x:si>
  <x:si>
    <x:r>
      <x:rPr>
        <x:b/>
        <x:i/>
        <x:u val="single"/>
        <x:sz val="10"/>
        <x:color rgb="FF267EF0"/>
        <x:rFont val="微软雅黑"/>
      </x:rPr>
      <x:t xml:space="preserve">https://v.douyin.com/balqG0MdVto/</x:t>
    </x:r>
  </x:si>
  <x:si>
    <x:t xml:space="preserve">三国志王道天下</x:t>
  </x:si>
  <x:si>
    <x:t xml:space="preserve">新大话西游</x:t>
  </x:si>
  <x:si>
    <x:r>
      <x:rPr>
        <x:b/>
        <x:i/>
        <x:u val="single"/>
        <x:sz val="10"/>
        <x:color rgb="FF267EF0"/>
        <x:rFont val="微软雅黑"/>
      </x:rPr>
      <x:t xml:space="preserve">https://v.douyin.com/sddgZUvHCH8/</x:t>
    </x:r>
  </x:si>
  <x:si>
    <x:t xml:space="preserve">IQOO</x:t>
  </x:si>
  <x:si>
    <x:r>
      <x:rPr>
        <x:b/>
        <x:i/>
        <x:u val="single"/>
        <x:sz val="10"/>
        <x:color rgb="FF267EF0"/>
        <x:rFont val="微软雅黑"/>
      </x:rPr>
      <x:t xml:space="preserve">https://v.douyin.com/QU_a6-qEFSc/</x:t>
    </x:r>
  </x:si>
  <x:si>
    <x:t xml:space="preserve">率土之滨</x:t>
  </x:si>
  <x:si>
    <x:r>
      <x:rPr>
        <x:b/>
        <x:i/>
        <x:u val="single"/>
        <x:sz val="10"/>
        <x:color rgb="FF267EF0"/>
        <x:rFont val="微软雅黑"/>
      </x:rPr>
      <x:t xml:space="preserve">https://v.douyin.com/sJElyt9DQsk/</x:t>
    </x:r>
  </x:si>
  <x:si>
    <x:t xml:space="preserve">未发</x:t>
  </x:si>
  <x:si>
    <x:t xml:space="preserve">下阶段报价</x:t>
  </x:si>
  <x:si>
    <x:t xml:space="preserve">目标星图中位数
</x:t>
  </x:si>
  <x:si>
    <x:r>
      <x:rPr>
        <x:b/>
        <x:i/>
        <x:u val="single"/>
        <x:sz val="10"/>
        <x:color rgb="FF267EF0"/>
        <x:rFont val="微软雅黑"/>
      </x:rPr>
      <x:t xml:space="preserve">https://v.douyin.com/Ypf3z8VOGM4/</x:t>
    </x:r>
  </x:si>
  <x:si>
    <x:t xml:space="preserve">三国志：王道天下</x:t>
  </x:si>
  <x:si>
    <x:r>
      <x:rPr>
        <x:b/>
        <x:i/>
        <x:u val="single"/>
        <x:sz val="10"/>
        <x:color rgb="FF267EF0"/>
        <x:rFont val="微软雅黑"/>
      </x:rPr>
      <x:t xml:space="preserve">https://v.douyin.com/QHOABaZ8XpY/</x:t>
    </x:r>
  </x:si>
  <x:si>
    <x:r>
      <x:rPr>
        <x:b/>
        <x:i/>
        <x:u val="single"/>
        <x:sz val="10"/>
        <x:color rgb="FF267EF0"/>
        <x:rFont val="微软雅黑"/>
      </x:rPr>
      <x:t xml:space="preserve">https://v.douyin.com/0K55vTkPf80/</x:t>
    </x:r>
  </x:si>
  <x:si>
    <x:t xml:space="preserve">新天龙八部</x:t>
  </x:si>
  <x:si>
    <x:r>
      <x:rPr>
        <x:b/>
        <x:i/>
        <x:u val="single"/>
        <x:sz val="10"/>
        <x:color rgb="FF267EF0"/>
        <x:rFont val="微软雅黑"/>
      </x:rPr>
      <x:t xml:space="preserve">https://v.douyin.com/o3WY-D0i2SU</x:t>
    </x:r>
  </x:si>
  <x:si>
    <x:r>
      <x:rPr>
        <x:b/>
        <x:i/>
        <x:u val="single"/>
        <x:sz val="10"/>
        <x:color rgb="FF267EF0"/>
        <x:rFont val="微软雅黑"/>
      </x:rPr>
      <x:t xml:space="preserve">https://v.douyin.com/LMBUS2mv5nQ/</x:t>
    </x:r>
  </x:si>
  <x:si>
    <x:t xml:space="preserve">违规不投流</x:t>
  </x:si>
  <x:si>
    <x:r>
      <x:rPr>
        <x:b/>
        <x:i/>
        <x:u val="single"/>
        <x:sz val="10"/>
        <x:color rgb="FF267EF0"/>
        <x:rFont val="微软雅黑"/>
      </x:rPr>
      <x:t xml:space="preserve">https://v.douyin.com/nWTl7vI_tXs/</x:t>
    </x:r>
  </x:si>
  <x:si>
    <x:t xml:space="preserve">appstore</x:t>
  </x:si>
  <x:si>
    <x:r>
      <x:rPr>
        <x:b/>
        <x:i/>
        <x:u val="single"/>
        <x:sz val="10"/>
        <x:color rgb="FF267EF0"/>
      </x:rPr>
      <x:t xml:space="preserve"> https://v.douyin.com/tT8IDZkGMz0/</x:t>
    </x:r>
    <x:r>
      <x:rPr>
        <x:b/>
        <x:i/>
        <x:sz val="10"/>
        <x:color rgb="FF000000"/>
      </x:rPr>
      <x:t xml:space="preserve"> </x:t>
    </x:r>
  </x:si>
  <x:si>
    <x:t xml:space="preserve">时空猎人:觉醒</x:t>
  </x:si>
  <x:si>
    <x:r>
      <x:rPr>
        <x:b/>
        <x:i/>
        <x:u val="single"/>
        <x:sz val="10"/>
        <x:color rgb="FF267EF0"/>
      </x:rPr>
      <x:t xml:space="preserve">https://v.douyin.com/OMuv4vkQCnM/</x:t>
    </x:r>
    <x:r>
      <x:rPr>
        <x:b/>
        <x:i/>
        <x:u val="single"/>
        <x:sz val="10"/>
        <x:color rgb="FF175CEB"/>
      </x:rPr>
      <x:t xml:space="preserve"> </x:t>
    </x:r>
  </x:si>
  <x:si>
    <x:t xml:space="preserve">鸿蒙CJ</x:t>
  </x:si>
  <x:si>
    <x:r>
      <x:rPr>
        <x:b/>
        <x:i/>
        <x:u val="single"/>
        <x:sz val="10"/>
        <x:color rgb="FF267EF0"/>
      </x:rPr>
      <x:t xml:space="preserve">https://v.douyin.com/PkAgFU-6NMY/</x:t>
    </x:r>
  </x:si>
  <x:si>
    <x:t xml:space="preserve">dnf应用宝</x:t>
  </x:si>
  <x:si>
    <x:r>
      <x:rPr>
        <x:b/>
        <x:i/>
        <x:u val="single"/>
        <x:sz val="10"/>
        <x:color rgb="FF267EF0"/>
      </x:rPr>
      <x:t xml:space="preserve">https://v.douyin.com/CKkb6Tnx8kY/</x:t>
    </x:r>
  </x:si>
  <x:si>
    <x:r>
      <x:rPr>
        <x:b/>
        <x:i/>
        <x:u val="single"/>
        <x:sz val="10"/>
        <x:color rgb="FF267EF0"/>
      </x:rPr>
      <x:t xml:space="preserve">https://v.douyin.com/1_t7DAMMbt0/</x:t>
    </x:r>
  </x:si>
  <x:si>
    <x:t xml:space="preserve">IQOO抖音电商开学季</x:t>
  </x:si>
  <x:si>
    <x:r>
      <x:rPr>
        <x:b/>
        <x:i/>
        <x:u val="single"/>
        <x:sz val="10"/>
        <x:color rgb="FF267EF0"/>
      </x:rPr>
      <x:t xml:space="preserve">https://v.douyin.com/-l8PolKZPYw/</x:t>
    </x:r>
  </x:si>
  <x:si>
    <x:r>
      <x:rPr>
        <x:b/>
        <x:i/>
        <x:u val="single"/>
        <x:sz val="10"/>
        <x:color rgb="FF267EF0"/>
      </x:rPr>
      <x:t xml:space="preserve">https://v.douyin.com/xWO7974UPpc/</x:t>
    </x:r>
  </x:si>
  <x:si>
    <x:t xml:space="preserve">rog</x:t>
  </x:si>
  <x:si>
    <x:r>
      <x:rPr>
        <x:b/>
        <x:i/>
        <x:u val="single"/>
        <x:sz val="10"/>
        <x:color rgb="FF267EF0"/>
      </x:rPr>
      <x:t xml:space="preserve">https://v.douyin.com/thvS9L2IReA/</x:t>
    </x:r>
    <x:r>
      <x:rPr>
        <x:b/>
        <x:i/>
        <x:sz val="10"/>
        <x:color rgb="FF000000"/>
      </x:rPr>
      <x:t xml:space="preserve"> </x:t>
    </x:r>
  </x:si>
  <x:si>
    <x:r>
      <x:rPr>
        <x:b/>
        <x:i/>
        <x:u val="single"/>
        <x:sz val="10"/>
        <x:color rgb="FF267EF0"/>
      </x:rPr>
      <x:t xml:space="preserve">https://v.douyin.com/aanjCgBObrI/</x:t>
    </x:r>
  </x:si>
  <x:si>
    <x:t xml:space="preserve">三角洲行动安全专项（保密项目）</x:t>
  </x:si>
  <x:si>
    <x:r>
      <x:rPr>
        <x:b/>
        <x:i/>
        <x:u val="single"/>
        <x:sz val="10"/>
        <x:color rgb="FF267EF0"/>
      </x:rPr>
      <x:t xml:space="preserve">https://v.douyin.com/DNbu9Uasf6o/</x:t>
    </x:r>
    <x:r>
      <x:rPr>
        <x:b/>
        <x:i/>
        <x:sz val="10"/>
        <x:color rgb="FF000000"/>
      </x:rPr>
      <x:t xml:space="preserve"> </x:t>
    </x:r>
  </x:si>
  <x:si>
    <x:t xml:space="preserve">金铲铲之战</x:t>
  </x:si>
  <x:si>
    <x:r>
      <x:rPr>
        <x:b/>
        <x:i/>
        <x:u val="single"/>
        <x:sz val="10"/>
        <x:color rgb="FF267EF0"/>
      </x:rPr>
      <x:t xml:space="preserve">https://v.douyin.com/KJaISoIxLbU/</x:t>
    </x:r>
  </x:si>
  <x:si>
    <x:t xml:space="preserve">三角洲行动PC</x:t>
  </x:si>
  <x:si>
    <x:r>
      <x:rPr>
        <x:b/>
        <x:i/>
        <x:u val="single"/>
        <x:sz val="10"/>
        <x:color rgb="FF267EF0"/>
      </x:rPr>
      <x:t xml:space="preserve">https://v.douyin.com/Ct9hnyrL9Uc/</x:t>
    </x:r>
  </x:si>
  <x:si>
    <x:t xml:space="preserve">三角洲行动</x:t>
  </x:si>
  <x:si>
    <x:r>
      <x:rPr>
        <x:b/>
        <x:i/>
        <x:u val="single"/>
        <x:sz val="10"/>
        <x:color rgb="FF267EF0"/>
      </x:rPr>
      <x:t xml:space="preserve">https://v.douyin.com/3hiHS1_T408/</x:t>
    </x:r>
  </x:si>
  <x:si>
    <x:r>
      <x:rPr>
        <x:b/>
        <x:i/>
        <x:u val="single"/>
        <x:sz val="10"/>
        <x:color rgb="FF267EF0"/>
      </x:rPr>
      <x:t xml:space="preserve">https://v.douyin.com/XbgCixFkm3o/</x:t>
    </x:r>
  </x:si>
  <x:si>
    <x:t xml:space="preserve">5.8w</x:t>
  </x:si>
  <x:si>
    <x:r>
      <x:rPr>
        <x:b/>
        <x:i/>
        <x:u val="single"/>
        <x:sz val="10"/>
        <x:color rgb="FF267EF0"/>
      </x:rPr>
      <x:t xml:space="preserve">https://v.douyin.com/16ZUpOdgoAs/</x:t>
    </x:r>
  </x:si>
  <x:si>
    <x:t xml:space="preserve">17.2w</x:t>
  </x:si>
  <x:si>
    <x:r>
      <x:rPr>
        <x:b/>
        <x:i/>
        <x:u val="single"/>
        <x:sz val="10"/>
        <x:color rgb="FF267EF0"/>
      </x:rPr>
      <x:t xml:space="preserve">https://v.douyin.com/EzilU_chRrE/</x:t>
    </x:r>
  </x:si>
  <x:si>
    <x:t xml:space="preserve">5.2w</x:t>
  </x:si>
  <x:si>
    <x:t xml:space="preserve">王者万象棋</x:t>
  </x:si>
  <x:si>
    <x:r>
      <x:rPr>
        <x:b/>
        <x:i/>
        <x:u val="single"/>
        <x:sz val="10"/>
        <x:color rgb="FF267EF0"/>
        <x:rFont val="微软雅黑"/>
      </x:rPr>
      <x:t xml:space="preserve">https://v.douyin.com/v4bqWZel5Qc/</x:t>
    </x:r>
  </x:si>
  <x:si>
    <x:t xml:space="preserve">5w</x:t>
  </x:si>
  <x:si>
    <x:t xml:space="preserve">仙遇cj</x:t>
  </x:si>
  <x:si>
    <x:r>
      <x:rPr>
        <x:b/>
        <x:i/>
        <x:u val="single"/>
        <x:sz val="10"/>
        <x:color rgb="FF267EF0"/>
      </x:rPr>
      <x:t xml:space="preserve">https://v.douyin.com/yACJcyK96A4/</x:t>
    </x:r>
  </x:si>
  <x:si>
    <x:r>
      <x:rPr>
        <x:b/>
        <x:i/>
        <x:u val="single"/>
        <x:sz val="10"/>
        <x:color rgb="FF267EF0"/>
      </x:rPr>
      <x:t xml:space="preserve">https://v.douyin.com/ngKT1OYusH4/</x:t>
    </x:r>
  </x:si>
  <x:si>
    <x:t xml:space="preserve">向末日开炮</x:t>
  </x:si>
  <x:si>
    <x:r>
      <x:rPr>
        <x:b/>
        <x:i/>
        <x:u val="single"/>
        <x:sz val="10"/>
        <x:color rgb="FF267EF0"/>
      </x:rPr>
      <x:t xml:space="preserve">https://v.douyin.com/ZnWPfsIG9XU/</x:t>
    </x:r>
  </x:si>
  <x:si>
    <x:t xml:space="preserve">小猿口算</x:t>
  </x:si>
  <x:si>
    <x:t xml:space="preserve">Appstore</x:t>
  </x:si>
  <x:si>
    <x:r>
      <x:rPr>
        <x:b/>
        <x:i/>
        <x:u val="single"/>
        <x:sz val="12"/>
        <x:color rgb="FF267EF0"/>
      </x:rPr>
      <x:t xml:space="preserve">https://v.douyin.com/UhPgGSyTbak/</x:t>
    </x:r>
  </x:si>
  <x:si>
    <x:t xml:space="preserve">新天龙八部端游</x:t>
  </x:si>
  <x:si>
    <x:r>
      <x:rPr>
        <x:b/>
        <x:i/>
        <x:u val="single"/>
        <x:sz val="10"/>
        <x:color rgb="FF267EF0"/>
      </x:rPr>
      <x:t xml:space="preserve">https://v.douyin.com/oywc2rq4MRI/</x:t>
    </x:r>
  </x:si>
</x:sst>
</file>

<file path=xl/styles.xml><?xml version="1.0" encoding="utf-8"?>
<x:styleSheet xmlns:x="http://schemas.openxmlformats.org/spreadsheetml/2006/main">
  <x:numFmts count="9">
    <x:numFmt numFmtId="300" formatCode="&quot;￥&quot;#,##0_);[Red](&quot;￥&quot;#,##0)"/>
    <x:numFmt numFmtId="301" formatCode="_ * #,##0_ ;_ * -#,##0_ ;_ * &quot;-&quot;??_ ;_ @_ "/>
    <x:numFmt numFmtId="302" formatCode="&quot;￥&quot;#,##0.0_);[Red](&quot;￥&quot;#,##0.0)"/>
    <x:numFmt numFmtId="303" formatCode="&quot;¥&quot;#,##0_);[Red](&quot;¥&quot;#,##0)"/>
    <x:numFmt numFmtId="304" formatCode="&quot;￥&quot;#,##0"/>
    <x:numFmt numFmtId="305" formatCode="0%"/>
    <x:numFmt numFmtId="306" formatCode="#,##0"/>
    <x:numFmt numFmtId="307" formatCode="&quot;￥&quot;#,##0.00"/>
    <x:numFmt numFmtId="308" formatCode="0.0%"/>
  </x:numFmts>
  <x:fonts count="20">
    <x:font>
      <x:sz val="10"/>
      <x:color theme="1"/>
      <x:name val="等线"/>
    </x:font>
    <x:font>
      <x:sz val="10"/>
      <x:color rgb="FF175CEB"/>
      <x:name val="等线"/>
    </x:font>
    <x:font>
      <x:sz val="10"/>
      <x:color rgb="FF000000"/>
      <x:name val="Segoe UI Symbol"/>
    </x:font>
    <x:font>
      <x:b/>
      <x:sz val="16"/>
      <x:color rgb="FFFFFFFF"/>
    </x:font>
    <x:font>
      <x:sz val="16"/>
      <x:color rgb="FFFFFFFF"/>
    </x:font>
    <x:font>
      <x:sz val="10"/>
    </x:font>
    <x:font>
      <x:b/>
      <x:sz val="10"/>
    </x:font>
    <x:font>
      <x:b/>
      <x:sz val="10"/>
      <x:color rgb="FFC00000"/>
    </x:font>
    <x:font>
      <x:sz val="11"/>
    </x:font>
    <x:font>
      <x:b/>
      <x:sz val="11"/>
    </x:font>
    <x:font/>
    <x:font>
      <x:sz val="9"/>
    </x:font>
    <x:font/>
    <x:font>
      <x:sz val="9"/>
    </x:font>
    <x:font>
      <x:sz val="12"/>
    </x:font>
    <x:font/>
    <x:font>
      <x:sz val="10"/>
      <x:color rgb="FF222222"/>
      <x:name val="Arial"/>
    </x:font>
    <x:font>
      <x:b/>
      <x:sz val="16"/>
      <x:color rgb="FFFFFFFF"/>
      <x:name val="Arial"/>
    </x:font>
    <x:font>
      <x:sz val="10"/>
      <x:color rgb="FF333333"/>
      <x:name val="Arial"/>
    </x:font>
    <x:font>
      <x:b/>
      <x:sz val="10"/>
      <x:color rgb="FF222222"/>
      <x:name val="Arial"/>
    </x:font>
  </x:fonts>
  <x:fills count="27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F3F5F7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F3F5F7"/>
      </x:patternFill>
    </x:fill>
    <x:fill>
      <x:patternFill patternType="none"/>
    </x:fill>
    <x:fill>
      <x:patternFill patternType="none"/>
    </x:fill>
    <x:fill>
      <x:patternFill patternType="solid">
        <x:fgColor rgb="FFC7ECFF"/>
      </x:patternFill>
    </x:fill>
    <x:fill>
      <x:patternFill patternType="solid">
        <x:fgColor rgb="FFC7ECFF"/>
      </x:patternFill>
    </x:fill>
    <x:fill>
      <x:patternFill patternType="solid">
        <x:fgColor rgb="FFC7ECFF"/>
      </x:patternFill>
    </x:fill>
    <x:fill>
      <x:patternFill patternType="solid">
        <x:fgColor rgb="FFF5E5FF"/>
      </x:patternFill>
    </x:fill>
    <x:fill>
      <x:patternFill patternType="solid">
        <x:fgColor rgb="FFFFF3CA"/>
      </x:patternFill>
    </x:fill>
    <x:fill>
      <x:patternFill patternType="solid">
        <x:fgColor rgb="FF8CDDFA"/>
      </x:patternFill>
    </x:fill>
    <x:fill>
      <x:patternFill patternType="solid">
        <x:fgColor rgb="FFA5A5A5"/>
      </x:patternFill>
    </x:fill>
    <x:fill>
      <x:patternFill patternType="solid">
        <x:fgColor rgb="FF7030A0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8F8F8"/>
      </x:patternFill>
    </x:fill>
  </x:fills>
  <x:borders count="21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77777"/>
      </x:left>
      <x:top style="thin">
        <x:color rgb="FF777777"/>
      </x:top>
    </x:border>
    <x:border>
      <x:top style="thin">
        <x:color rgb="FF777777"/>
      </x:top>
    </x:border>
    <x:border>
      <x:right style="thin">
        <x:color rgb="FF777777"/>
      </x:right>
      <x:top style="thin">
        <x:color rgb="FF777777"/>
      </x:top>
    </x:border>
    <x:border>
      <x:left style="thin">
        <x:color rgb="FF777777"/>
      </x:left>
    </x:border>
    <x:border>
      <x:right style="thin">
        <x:color rgb="FF777777"/>
      </x:right>
    </x:border>
    <x:border>
      <x:left style="thin">
        <x:color rgb="FF777777"/>
      </x:left>
      <x:bottom style="thin">
        <x:color rgb="FF777777"/>
      </x:bottom>
    </x:border>
    <x:border>
      <x:bottom style="thin">
        <x:color rgb="FF777777"/>
      </x:bottom>
    </x:border>
    <x:border>
      <x:right style="thin">
        <x:color rgb="FF777777"/>
      </x:right>
      <x:bottom style="thin">
        <x:color rgb="FF777777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 xfId="0">
      <x:alignment vertical="center"/>
    </x:xf>
  </x:cellStyleXfs>
  <x:cellXfs count="149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>
      <x:alignment vertical="center"/>
    </x:xf>
    <x:xf numFmtId="0" fontId="3" fillId="2" borderId="1" xfId="0">
      <x:alignment horizontal="center" vertical="center"/>
    </x:xf>
    <x:xf fontId="0" fillId="0" borderId="2" xfId="0">
      <x:alignment vertical="center"/>
    </x:xf>
    <x:xf numFmtId="0" fontId="4" fillId="3" borderId="0" xfId="0">
      <x:alignment horizontal="center" vertical="center"/>
    </x:xf>
    <x:xf numFmtId="0" fontId="5" fillId="0" borderId="3" xfId="0">
      <x:alignment vertical="center" wrapText="1"/>
    </x:xf>
    <x:xf fontId="0" fillId="0" borderId="4" xfId="0">
      <x:alignment vertical="center"/>
    </x:xf>
    <x:xf numFmtId="0" fontId="5" fillId="0" borderId="0" xfId="0">
      <x:alignment vertical="center" wrapText="1"/>
    </x:xf>
    <x:xf fontId="5" fillId="0" borderId="0" xfId="0">
      <x:alignment vertical="center"/>
    </x:xf>
    <x:xf numFmtId="0" fontId="5" fillId="4" borderId="5" xfId="0">
      <x:alignment horizontal="center" vertical="center"/>
    </x:xf>
    <x:xf numFmtId="300" fontId="5" fillId="5" borderId="5" xfId="0">
      <x:alignment horizontal="center" vertical="center"/>
    </x:xf>
    <x:xf numFmtId="0" fontId="5" fillId="6" borderId="5" xfId="0">
      <x:alignment horizontal="center" vertical="center" wrapText="1"/>
    </x:xf>
    <x:xf numFmtId="0" fontId="6" fillId="7" borderId="5" xfId="0">
      <x:alignment horizontal="center" vertical="center" wrapText="1"/>
    </x:xf>
    <x:xf numFmtId="0" fontId="6" fillId="5" borderId="5" xfId="0">
      <x:alignment horizontal="center" vertical="center" wrapText="1"/>
    </x:xf>
    <x:xf numFmtId="0" fontId="5" fillId="7" borderId="5" xfId="0">
      <x:alignment horizontal="center" vertical="center" wrapText="1"/>
    </x:xf>
    <x:xf numFmtId="0" fontId="5" fillId="4" borderId="5" xfId="0">
      <x:alignment horizontal="center" vertical="center" wrapText="1"/>
    </x:xf>
    <x:xf numFmtId="0" fontId="5" fillId="8" borderId="5" xfId="0">
      <x:alignment horizontal="center" vertical="center" wrapText="1"/>
    </x:xf>
    <x:xf numFmtId="0" fontId="5" fillId="9" borderId="5" xfId="0">
      <x:alignment horizontal="center" vertical="center" wrapText="1"/>
    </x:xf>
    <x:xf numFmtId="0" fontId="5" fillId="0" borderId="5" xfId="0">
      <x:alignment horizontal="center" vertical="center"/>
    </x:xf>
    <x:xf numFmtId="300" fontId="5" fillId="5" borderId="5" xfId="0">
      <x:alignment horizontal="right" vertical="center"/>
    </x:xf>
    <x:xf numFmtId="301" fontId="5" fillId="0" borderId="5" xfId="0">
      <x:alignment horizontal="right" vertical="center"/>
    </x:xf>
    <x:xf numFmtId="302" fontId="5" fillId="0" borderId="5" xfId="0">
      <x:alignment horizontal="right" vertical="center"/>
    </x:xf>
    <x:xf numFmtId="301" fontId="5" fillId="6" borderId="5" xfId="0">
      <x:alignment horizontal="right" vertical="center"/>
    </x:xf>
    <x:xf numFmtId="300" fontId="7" fillId="5" borderId="5" xfId="0">
      <x:alignment horizontal="right" vertical="center"/>
    </x:xf>
    <x:xf numFmtId="9" fontId="7" fillId="7" borderId="5" xfId="0">
      <x:alignment horizontal="right" vertical="center"/>
    </x:xf>
    <x:xf numFmtId="301" fontId="5" fillId="10" borderId="5" xfId="0">
      <x:alignment horizontal="right" vertical="center"/>
    </x:xf>
    <x:xf numFmtId="300" fontId="5" fillId="0" borderId="5" xfId="0">
      <x:alignment horizontal="right" vertical="center"/>
    </x:xf>
    <x:xf numFmtId="10" fontId="5" fillId="0" borderId="5" xfId="0">
      <x:alignment horizontal="right" vertical="center"/>
    </x:xf>
    <x:xf fontId="5" fillId="0" borderId="5" xfId="0">
      <x:alignment vertical="center"/>
    </x:xf>
    <x:xf numFmtId="300" fontId="5" fillId="7" borderId="5" xfId="0">
      <x:alignment horizontal="right" vertical="center"/>
    </x:xf>
    <x:xf numFmtId="9" fontId="5" fillId="7" borderId="5" xfId="0">
      <x:alignment horizontal="right" vertical="center"/>
    </x:xf>
    <x:xf numFmtId="300" fontId="5" fillId="0" borderId="5" xfId="0">
      <x:alignment vertical="center"/>
    </x:xf>
    <x:xf numFmtId="300" fontId="7" fillId="7" borderId="5" xfId="0">
      <x:alignment horizontal="right" vertical="center"/>
    </x:xf>
    <x:xf fontId="5" fillId="11" borderId="0" xfId="0">
      <x:alignment vertical="center"/>
    </x:xf>
    <x:xf numFmtId="4" fontId="5" fillId="0" borderId="0" xfId="0">
      <x:alignment vertical="center"/>
    </x:xf>
    <x:xf numFmtId="3" fontId="5" fillId="0" borderId="0" xfId="0">
      <x:alignment vertical="center"/>
    </x:xf>
    <x:xf fontId="8" fillId="12" borderId="5" xfId="0">
      <x:alignment horizontal="center" vertical="center"/>
    </x:xf>
    <x:xf fontId="8" fillId="13" borderId="5" xfId="0">
      <x:alignment horizontal="center" vertical="center"/>
    </x:xf>
    <x:xf fontId="8" fillId="14" borderId="5" xfId="0">
      <x:alignment horizontal="center" vertical="center"/>
    </x:xf>
    <x:xf fontId="0" fillId="0" borderId="5" xfId="0">
      <x:alignment vertical="center"/>
    </x:xf>
    <x:xf fontId="8" fillId="14" borderId="6" xfId="0">
      <x:alignment horizontal="center" vertical="center" wrapText="1"/>
    </x:xf>
    <x:xf fontId="8" fillId="0" borderId="0" xfId="0">
      <x:alignment horizontal="center" vertical="center"/>
    </x:xf>
    <x:xf numFmtId="0" fontId="9" fillId="0" borderId="5" xfId="0">
      <x:alignment horizontal="center" vertical="center"/>
    </x:xf>
    <x:xf numFmtId="0" fontId="9" fillId="0" borderId="5" xfId="0">
      <x:alignment horizontal="center" vertical="center" wrapText="1"/>
    </x:xf>
    <x:xf fontId="8" fillId="14" borderId="5" xfId="0">
      <x:alignment vertical="center"/>
    </x:xf>
    <x:xf fontId="0" fillId="0" borderId="7" xfId="0">
      <x:alignment vertical="center"/>
    </x:xf>
    <x:xf fontId="0" fillId="0" borderId="0" xfId="0">
      <x:alignment horizontal="center" vertical="center"/>
    </x:xf>
    <x:xf fontId="10" fillId="0" borderId="0" xfId="0">
      <x:alignment horizontal="center" vertical="center"/>
    </x:xf>
    <x:xf fontId="11" fillId="0" borderId="0" xfId="0">
      <x:alignment horizontal="center" vertical="center" wrapText="0"/>
    </x:xf>
    <x:xf numFmtId="0" fontId="0" fillId="0" borderId="0" xfId="0">
      <x:alignment horizontal="center" vertical="center"/>
    </x:xf>
    <x:xf numFmtId="0" fontId="8" fillId="0" borderId="5" xfId="0">
      <x:alignment horizontal="center" vertical="center"/>
    </x:xf>
    <x:xf numFmtId="303" fontId="8" fillId="0" borderId="5" xfId="0">
      <x:alignment horizontal="center" vertical="center"/>
    </x:xf>
    <x:xf fontId="8" fillId="0" borderId="5" xfId="0">
      <x:alignment horizontal="center" vertical="center"/>
    </x:xf>
    <x:xf fontId="0" fillId="0" borderId="5" xfId="0">
      <x:alignment horizontal="center" vertical="center"/>
    </x:xf>
    <x:xf fontId="12" fillId="0" borderId="0" xfId="0">
      <x:alignment horizontal="center" vertical="center"/>
    </x:xf>
    <x:xf numFmtId="300" fontId="0" fillId="0" borderId="5" xfId="0">
      <x:alignment horizontal="center" vertical="center"/>
    </x:xf>
    <x:xf fontId="5" fillId="0" borderId="0" xfId="0">
      <x:alignment horizontal="center" vertical="center"/>
    </x:xf>
    <x:xf numFmtId="0" fontId="8" fillId="15" borderId="5" xfId="0">
      <x:alignment horizontal="center" vertical="center"/>
    </x:xf>
    <x:xf numFmtId="0" fontId="8" fillId="16" borderId="5" xfId="0">
      <x:alignment horizontal="center" vertical="center" wrapText="1"/>
    </x:xf>
    <x:xf numFmtId="300" fontId="8" fillId="16" borderId="5" xfId="0">
      <x:alignment horizontal="center" vertical="center"/>
    </x:xf>
    <x:xf numFmtId="301" fontId="8" fillId="16" borderId="5" xfId="0">
      <x:alignment horizontal="center" vertical="center"/>
    </x:xf>
    <x:xf numFmtId="0" fontId="0" fillId="0" borderId="0" xfId="0">
      <x:alignment horizontal="center" vertical="center"/>
    </x:xf>
    <x:xf fontId="0" fillId="17" borderId="0" xfId="0">
      <x:alignment horizontal="center" vertical="center"/>
    </x:xf>
    <x:xf numFmtId="0" fontId="0" fillId="18" borderId="0" xfId="0">
      <x:alignment horizontal="center" vertical="center"/>
    </x:xf>
    <x:xf numFmtId="0" fontId="0" fillId="18" borderId="0" xfId="0">
      <x:alignment horizontal="center" vertical="center"/>
    </x:xf>
    <x:xf fontId="11" fillId="18" borderId="0" xfId="0">
      <x:alignment horizontal="center" vertical="center" wrapText="0"/>
    </x:xf>
    <x:xf fontId="0" fillId="18" borderId="0" xfId="0">
      <x:alignment horizontal="center" vertical="center"/>
    </x:xf>
    <x:xf numFmtId="0" fontId="10" fillId="0" borderId="0" xfId="0">
      <x:alignment horizontal="center" vertical="center"/>
    </x:xf>
    <x:xf fontId="0" fillId="0" borderId="0" xfId="0">
      <x:alignment horizontal="center" vertical="center"/>
    </x:xf>
    <x:xf fontId="0" fillId="18" borderId="0" xfId="0">
      <x:alignment horizontal="center" vertical="center"/>
    </x:xf>
    <x:xf numFmtId="0" fontId="0" fillId="17" borderId="0" xfId="0">
      <x:alignment horizontal="center" vertical="center"/>
    </x:xf>
    <x:xf fontId="13" fillId="0" borderId="0" xfId="0">
      <x:alignment horizontal="center" vertical="center" wrapText="0"/>
    </x:xf>
    <x:xf numFmtId="0" fontId="12" fillId="0" borderId="0" xfId="0">
      <x:alignment horizontal="center" vertical="center"/>
    </x:xf>
    <x:xf numFmtId="0" fontId="0" fillId="0" borderId="0" xfId="0">
      <x:alignment vertical="center"/>
    </x:xf>
    <x:xf fontId="0" fillId="11" borderId="0" xfId="0">
      <x:alignment horizontal="center" vertical="center"/>
    </x:xf>
    <x:xf numFmtId="0" fontId="14" fillId="0" borderId="0" xfId="0">
      <x:alignment vertical="center"/>
    </x:xf>
    <x:xf fontId="11" fillId="0" borderId="0" xfId="0">
      <x:alignment vertical="center" wrapText="0"/>
    </x:xf>
    <x:xf fontId="11" fillId="0" borderId="0" xfId="0">
      <x:alignment vertical="center" wrapText="0"/>
    </x:xf>
    <x:xf fontId="13" fillId="0" borderId="0" xfId="0">
      <x:alignment vertical="center" wrapText="0"/>
    </x:xf>
    <x:xf fontId="12" fillId="0" borderId="0" xfId="0">
      <x:alignment vertical="center"/>
    </x:xf>
    <x:xf fontId="12" fillId="0" borderId="0" xfId="0">
      <x:alignment horizontal="right" vertical="center"/>
    </x:xf>
    <x:xf fontId="15" fillId="0" borderId="0" xfId="0">
      <x:alignment vertical="center"/>
    </x:xf>
    <x:xf fontId="8" fillId="0" borderId="0" xfId="0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19" borderId="0" xfId="0" applyNumberFormat="1" applyFont="1" applyFill="1" applyBorder="1" applyAlignment="1">
      <x:alignment vertical="center"/>
    </x:xf>
    <x:xf numFmtId="0" fontId="17" fillId="19" borderId="0" xfId="0" applyNumberFormat="1" applyFont="1" applyFill="1" applyBorder="1" applyAlignment="1">
      <x:alignment vertical="center"/>
    </x:xf>
    <x:xf numFmtId="0" fontId="17" fillId="19" borderId="8" xfId="0" applyNumberFormat="1" applyFont="1" applyFill="1" applyBorder="1" applyAlignment="1">
      <x:alignment vertical="center"/>
    </x:xf>
    <x:xf numFmtId="0" fontId="17" fillId="19" borderId="9" xfId="0" applyNumberFormat="1" applyFont="1" applyFill="1" applyBorder="1" applyAlignment="1">
      <x:alignment vertical="center"/>
    </x:xf>
    <x:xf numFmtId="0" fontId="17" fillId="19" borderId="10" xfId="0" applyNumberFormat="1" applyFont="1" applyFill="1" applyBorder="1" applyAlignment="1">
      <x:alignment vertical="center"/>
    </x:xf>
    <x:xf numFmtId="0" fontId="17" fillId="19" borderId="8" xfId="0" applyNumberFormat="1" applyFont="1" applyFill="1" applyBorder="1" applyAlignment="1">
      <x:alignment horizontal="center" vertical="center"/>
    </x:xf>
    <x:xf numFmtId="0" fontId="17" fillId="19" borderId="9" xfId="0" applyNumberFormat="1" applyFont="1" applyFill="1" applyBorder="1" applyAlignment="1">
      <x:alignment horizontal="center" vertical="center"/>
    </x:xf>
    <x:xf numFmtId="0" fontId="17" fillId="19" borderId="10" xfId="0" applyNumberFormat="1" applyFont="1" applyFill="1" applyBorder="1" applyAlignment="1">
      <x:alignment horizontal="center" vertical="center"/>
    </x:xf>
    <x:xf numFmtId="0" fontId="16" fillId="20" borderId="0" xfId="0" applyNumberFormat="1" applyFont="1" applyFill="1" applyBorder="1" applyAlignment="1">
      <x:alignment vertical="center"/>
    </x:xf>
    <x:xf numFmtId="0" fontId="18" fillId="20" borderId="0" xfId="0" applyNumberFormat="1" applyFont="1" applyFill="1" applyBorder="1" applyAlignment="1">
      <x:alignment vertical="center"/>
    </x:xf>
    <x:xf numFmtId="0" fontId="18" fillId="20" borderId="11" xfId="0" applyNumberFormat="1" applyFont="1" applyFill="1" applyBorder="1" applyAlignment="1">
      <x:alignment vertical="center"/>
    </x:xf>
    <x:xf numFmtId="0" fontId="18" fillId="20" borderId="12" xfId="0" applyNumberFormat="1" applyFont="1" applyFill="1" applyBorder="1" applyAlignment="1">
      <x:alignment vertical="center"/>
    </x:xf>
    <x:xf numFmtId="0" fontId="18" fillId="20" borderId="13" xfId="0" applyNumberFormat="1" applyFont="1" applyFill="1" applyBorder="1" applyAlignment="1">
      <x:alignment vertical="center"/>
    </x:xf>
    <x:xf numFmtId="0" fontId="18" fillId="20" borderId="14" xfId="0" applyNumberFormat="1" applyFont="1" applyFill="1" applyBorder="1" applyAlignment="1">
      <x:alignment vertical="center"/>
    </x:xf>
    <x:xf numFmtId="0" fontId="18" fillId="20" borderId="15" xfId="0" applyNumberFormat="1" applyFont="1" applyFill="1" applyBorder="1" applyAlignment="1">
      <x:alignment vertical="center"/>
    </x:xf>
    <x:xf numFmtId="0" fontId="18" fillId="20" borderId="16" xfId="0" applyNumberFormat="1" applyFont="1" applyFill="1" applyBorder="1" applyAlignment="1">
      <x:alignment vertical="center"/>
    </x:xf>
    <x:xf numFmtId="0" fontId="18" fillId="20" borderId="17" xfId="0" applyNumberFormat="1" applyFont="1" applyFill="1" applyBorder="1" applyAlignment="1">
      <x:alignment vertical="center"/>
    </x:xf>
    <x:xf numFmtId="0" fontId="18" fillId="20" borderId="18" xfId="0" applyNumberFormat="1" applyFont="1" applyFill="1" applyBorder="1" applyAlignment="1">
      <x:alignment vertical="center"/>
    </x:xf>
    <x:xf numFmtId="0" fontId="18" fillId="20" borderId="11" xfId="0" applyNumberFormat="1" applyFont="1" applyFill="1" applyBorder="1" applyAlignment="1">
      <x:alignment vertical="center" wrapText="1"/>
    </x:xf>
    <x:xf numFmtId="0" fontId="18" fillId="20" borderId="12" xfId="0" applyNumberFormat="1" applyFont="1" applyFill="1" applyBorder="1" applyAlignment="1">
      <x:alignment vertical="center" wrapText="1"/>
    </x:xf>
    <x:xf numFmtId="0" fontId="18" fillId="20" borderId="13" xfId="0" applyNumberFormat="1" applyFont="1" applyFill="1" applyBorder="1" applyAlignment="1">
      <x:alignment vertical="center" wrapText="1"/>
    </x:xf>
    <x:xf numFmtId="0" fontId="18" fillId="20" borderId="14" xfId="0" applyNumberFormat="1" applyFont="1" applyFill="1" applyBorder="1" applyAlignment="1">
      <x:alignment vertical="center" wrapText="1"/>
    </x:xf>
    <x:xf numFmtId="0" fontId="18" fillId="20" borderId="0" xfId="0" applyNumberFormat="1" applyFont="1" applyFill="1" applyBorder="1" applyAlignment="1">
      <x:alignment vertical="center" wrapText="1"/>
    </x:xf>
    <x:xf numFmtId="0" fontId="18" fillId="20" borderId="15" xfId="0" applyNumberFormat="1" applyFont="1" applyFill="1" applyBorder="1" applyAlignment="1">
      <x:alignment vertical="center" wrapText="1"/>
    </x:xf>
    <x:xf numFmtId="0" fontId="18" fillId="20" borderId="16" xfId="0" applyNumberFormat="1" applyFont="1" applyFill="1" applyBorder="1" applyAlignment="1">
      <x:alignment vertical="center" wrapText="1"/>
    </x:xf>
    <x:xf numFmtId="0" fontId="18" fillId="20" borderId="17" xfId="0" applyNumberFormat="1" applyFont="1" applyFill="1" applyBorder="1" applyAlignment="1">
      <x:alignment vertical="center" wrapText="1"/>
    </x:xf>
    <x:xf numFmtId="0" fontId="18" fillId="20" borderId="18" xfId="0" applyNumberFormat="1" applyFont="1" applyFill="1" applyBorder="1" applyAlignment="1">
      <x:alignment vertical="center" wrapText="1"/>
    </x:xf>
    <x:xf numFmtId="0" fontId="18" fillId="20" borderId="11" xfId="0" applyNumberFormat="1" applyFont="1" applyFill="1" applyBorder="1" applyAlignment="1">
      <x:alignment horizontal="left" vertical="center" wrapText="1"/>
    </x:xf>
    <x:xf numFmtId="0" fontId="18" fillId="20" borderId="12" xfId="0" applyNumberFormat="1" applyFont="1" applyFill="1" applyBorder="1" applyAlignment="1">
      <x:alignment horizontal="left" vertical="center" wrapText="1"/>
    </x:xf>
    <x:xf numFmtId="0" fontId="18" fillId="20" borderId="13" xfId="0" applyNumberFormat="1" applyFont="1" applyFill="1" applyBorder="1" applyAlignment="1">
      <x:alignment horizontal="left" vertical="center" wrapText="1"/>
    </x:xf>
    <x:xf numFmtId="0" fontId="18" fillId="20" borderId="14" xfId="0" applyNumberFormat="1" applyFont="1" applyFill="1" applyBorder="1" applyAlignment="1">
      <x:alignment horizontal="left" vertical="center" wrapText="1"/>
    </x:xf>
    <x:xf numFmtId="0" fontId="18" fillId="20" borderId="0" xfId="0" applyNumberFormat="1" applyFont="1" applyFill="1" applyBorder="1" applyAlignment="1">
      <x:alignment horizontal="left" vertical="center" wrapText="1"/>
    </x:xf>
    <x:xf numFmtId="0" fontId="18" fillId="20" borderId="15" xfId="0" applyNumberFormat="1" applyFont="1" applyFill="1" applyBorder="1" applyAlignment="1">
      <x:alignment horizontal="left" vertical="center" wrapText="1"/>
    </x:xf>
    <x:xf numFmtId="0" fontId="18" fillId="20" borderId="16" xfId="0" applyNumberFormat="1" applyFont="1" applyFill="1" applyBorder="1" applyAlignment="1">
      <x:alignment horizontal="left" vertical="center" wrapText="1"/>
    </x:xf>
    <x:xf numFmtId="0" fontId="18" fillId="20" borderId="17" xfId="0" applyNumberFormat="1" applyFont="1" applyFill="1" applyBorder="1" applyAlignment="1">
      <x:alignment horizontal="left" vertical="center" wrapText="1"/>
    </x:xf>
    <x:xf numFmtId="0" fontId="18" fillId="20" borderId="18" xfId="0" applyNumberFormat="1" applyFont="1" applyFill="1" applyBorder="1" applyAlignment="1">
      <x:alignment horizontal="left" vertical="center" wrapText="1"/>
    </x:xf>
    <x:xf numFmtId="0" fontId="16" fillId="21" borderId="0" xfId="0" applyNumberFormat="1" applyFont="1" applyFill="1" applyBorder="1" applyAlignment="1">
      <x:alignment vertical="center"/>
    </x:xf>
    <x:xf numFmtId="0" fontId="19" fillId="21" borderId="0" xfId="0" applyNumberFormat="1" applyFont="1" applyFill="1" applyBorder="1" applyAlignment="1">
      <x:alignment vertical="center"/>
    </x:xf>
    <x:xf numFmtId="0" fontId="19" fillId="21" borderId="19" xfId="0" applyNumberFormat="1" applyFont="1" applyFill="1" applyBorder="1" applyAlignment="1">
      <x:alignment vertical="center"/>
    </x:xf>
    <x:xf numFmtId="0" fontId="19" fillId="21" borderId="19" xfId="0" applyNumberFormat="1" applyFont="1" applyFill="1" applyBorder="1" applyAlignment="1">
      <x:alignment vertical="center" wrapText="1"/>
    </x:xf>
    <x:xf numFmtId="0" fontId="19" fillId="21" borderId="19" xfId="0" applyNumberFormat="1" applyFont="1" applyFill="1" applyBorder="1" applyAlignment="1">
      <x:alignment horizontal="center" vertical="center" wrapText="1"/>
    </x:xf>
    <x:xf numFmtId="0" fontId="16" fillId="0" borderId="20" xfId="0" applyNumberFormat="1" applyFont="1" applyFill="1" applyBorder="1" applyAlignment="1">
      <x:alignment vertical="center"/>
    </x:xf>
    <x:xf numFmtId="0" fontId="16" fillId="0" borderId="20" xfId="0" applyNumberFormat="1" applyFont="1" applyFill="1" applyBorder="1" applyAlignment="1">
      <x:alignment vertical="center" wrapText="0"/>
    </x:xf>
    <x:xf numFmtId="0" fontId="16" fillId="0" borderId="20" xfId="0" applyNumberFormat="1" applyFont="1" applyFill="1" applyBorder="1" applyAlignment="1">
      <x:alignment horizontal="center" vertical="center" wrapText="0"/>
    </x:xf>
    <x:xf numFmtId="0" fontId="19" fillId="0" borderId="20" xfId="0" applyNumberFormat="1" applyFont="1" applyFill="1" applyBorder="1" applyAlignment="1">
      <x:alignment horizontal="center" vertical="center" wrapText="0"/>
    </x:xf>
    <x:xf numFmtId="0" fontId="16" fillId="22" borderId="20" xfId="0" applyNumberFormat="1" applyFont="1" applyFill="1" applyBorder="1" applyAlignment="1">
      <x:alignment horizontal="center" vertical="center" wrapText="0"/>
    </x:xf>
    <x:xf numFmtId="0" fontId="16" fillId="23" borderId="20" xfId="0" applyNumberFormat="1" applyFont="1" applyFill="1" applyBorder="1" applyAlignment="1">
      <x:alignment horizontal="center" vertical="center" wrapText="0"/>
    </x:xf>
    <x:xf numFmtId="0" fontId="16" fillId="24" borderId="20" xfId="0" applyNumberFormat="1" applyFont="1" applyFill="1" applyBorder="1" applyAlignment="1">
      <x:alignment horizontal="center" vertical="center" wrapText="0"/>
    </x:xf>
    <x:xf numFmtId="0" fontId="16" fillId="25" borderId="20" xfId="0" applyNumberFormat="1" applyFont="1" applyFill="1" applyBorder="1" applyAlignment="1">
      <x:alignment horizontal="center" vertical="center" wrapText="0"/>
    </x:xf>
    <x:xf numFmtId="0" fontId="19" fillId="26" borderId="20" xfId="0" applyNumberFormat="1" applyFont="1" applyFill="1" applyBorder="1" applyAlignment="1">
      <x:alignment horizontal="center" vertical="center" wrapText="0"/>
    </x:xf>
    <x:xf numFmtId="0" fontId="16" fillId="26" borderId="20" xfId="0" applyNumberFormat="1" applyFont="1" applyFill="1" applyBorder="1" applyAlignment="1">
      <x:alignment horizontal="center" vertical="center" wrapText="0"/>
    </x:xf>
    <x:xf numFmtId="0" fontId="16" fillId="0" borderId="20" xfId="0" applyNumberFormat="1" applyFont="1" applyFill="1" applyBorder="1" applyAlignment="1">
      <x:alignment horizontal="left" vertical="center" wrapText="0"/>
    </x:xf>
    <x:xf numFmtId="0" fontId="16" fillId="26" borderId="20" xfId="0" applyNumberFormat="1" applyFont="1" applyFill="1" applyBorder="1" applyAlignment="1">
      <x:alignment horizontal="left" vertical="center" wrapText="0"/>
    </x:xf>
    <x:xf numFmtId="304" fontId="16" fillId="22" borderId="20" xfId="0" applyNumberFormat="1" applyFont="1" applyFill="1" applyBorder="1" applyAlignment="1">
      <x:alignment horizontal="center" vertical="center" wrapText="0"/>
    </x:xf>
    <x:xf numFmtId="305" fontId="16" fillId="22" borderId="20" xfId="0" applyNumberFormat="1" applyFont="1" applyFill="1" applyBorder="1" applyAlignment="1">
      <x:alignment horizontal="center" vertical="center" wrapText="0"/>
    </x:xf>
    <x:xf numFmtId="306" fontId="16" fillId="0" borderId="20" xfId="0" applyNumberFormat="1" applyFont="1" applyFill="1" applyBorder="1" applyAlignment="1">
      <x:alignment horizontal="center" vertical="center" wrapText="0"/>
    </x:xf>
    <x:xf numFmtId="306" fontId="16" fillId="23" borderId="20" xfId="0" applyNumberFormat="1" applyFont="1" applyFill="1" applyBorder="1" applyAlignment="1">
      <x:alignment horizontal="center" vertical="center" wrapText="0"/>
    </x:xf>
    <x:xf numFmtId="306" fontId="16" fillId="26" borderId="20" xfId="0" applyNumberFormat="1" applyFont="1" applyFill="1" applyBorder="1" applyAlignment="1">
      <x:alignment horizontal="center" vertical="center" wrapText="0"/>
    </x:xf>
    <x:xf numFmtId="307" fontId="16" fillId="24" borderId="20" xfId="0" applyNumberFormat="1" applyFont="1" applyFill="1" applyBorder="1" applyAlignment="1">
      <x:alignment horizontal="center" vertical="center" wrapText="0"/>
    </x:xf>
    <x:xf numFmtId="307" fontId="16" fillId="0" borderId="20" xfId="0" applyNumberFormat="1" applyFont="1" applyFill="1" applyBorder="1" applyAlignment="1">
      <x:alignment horizontal="center" vertical="center" wrapText="0"/>
    </x:xf>
    <x:xf numFmtId="307" fontId="16" fillId="25" borderId="20" xfId="0" applyNumberFormat="1" applyFont="1" applyFill="1" applyBorder="1" applyAlignment="1">
      <x:alignment horizontal="center" vertical="center" wrapText="0"/>
    </x:xf>
    <x:xf numFmtId="307" fontId="16" fillId="26" borderId="20" xfId="0" applyNumberFormat="1" applyFont="1" applyFill="1" applyBorder="1" applyAlignment="1">
      <x:alignment horizontal="center" vertical="center" wrapText="0"/>
    </x:xf>
    <x:xf numFmtId="308" fontId="16" fillId="25" borderId="2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1be8113fc427b" /><Relationship Type="http://schemas.openxmlformats.org/officeDocument/2006/relationships/theme" Target="/xl/theme/theme1.xml" Id="R84d3555b60d04e57" /><Relationship Type="http://schemas.openxmlformats.org/officeDocument/2006/relationships/sharedStrings" Target="/xl/sharedStrings.xml" Id="Rcc39d482236a4fdc" /><Relationship Type="http://schemas.openxmlformats.org/officeDocument/2006/relationships/worksheet" Target="/xl/worksheets/sheet1.xml" Id="Ra4c7e24cbdd6430c" /><Relationship Type="http://schemas.openxmlformats.org/officeDocument/2006/relationships/worksheet" Target="/xl/worksheets/sheet2.xml" Id="Rd2cc775dd70045df" /><Relationship Type="http://schemas.openxmlformats.org/officeDocument/2006/relationships/worksheet" Target="/xl/worksheets/sheet3.xml" Id="R256884dcc8f0410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v.douyin.com/O_y6EZe7Pxc/" TargetMode="External" Id="Rc1fbb339cfeb4fe5" /><Relationship Type="http://schemas.openxmlformats.org/officeDocument/2006/relationships/hyperlink" Target="https://v.douyin.com/bBaFptMb0cI/" TargetMode="External" Id="R2928b13551be4ba7" /><Relationship Type="http://schemas.openxmlformats.org/officeDocument/2006/relationships/hyperlink" Target="https://v.douyin.com/_YVsx0qkLhY/" TargetMode="External" Id="R50bb0973f58d428d" /><Relationship Type="http://schemas.openxmlformats.org/officeDocument/2006/relationships/hyperlink" Target="https://v.douyin.com/PXOEqRrTTWE/" TargetMode="External" Id="Rc26c69af09594732" /><Relationship Type="http://schemas.openxmlformats.org/officeDocument/2006/relationships/hyperlink" Target="https://v.douyin.com/QBFbHgS_qzs/" TargetMode="External" Id="R08646619c8d04fad" /><Relationship Type="http://schemas.openxmlformats.org/officeDocument/2006/relationships/hyperlink" Target="https://v.douyin.com/Qpj1irNXt2o/" TargetMode="External" Id="Rf1ea88d4b7594acb" /><Relationship Type="http://schemas.openxmlformats.org/officeDocument/2006/relationships/hyperlink" Target="https://v.douyin.com/balqG0MdVto/" TargetMode="External" Id="R582c7f4bbdfb41a8" /><Relationship Type="http://schemas.openxmlformats.org/officeDocument/2006/relationships/hyperlink" Target="https://v.douyin.com/sddgZUvHCH8/" TargetMode="External" Id="R8c55d08349484cc7" /><Relationship Type="http://schemas.openxmlformats.org/officeDocument/2006/relationships/hyperlink" Target="https://v.douyin.com/QU_a6-qEFSc/" TargetMode="External" Id="R24213830a5b64ba8" /><Relationship Type="http://schemas.openxmlformats.org/officeDocument/2006/relationships/hyperlink" Target="https://v.douyin.com/sJElyt9DQsk/" TargetMode="External" Id="Rcffb2b70f9af4396" /><Relationship Type="http://schemas.openxmlformats.org/officeDocument/2006/relationships/hyperlink" Target="https://v.douyin.com/Ypf3z8VOGM4/" TargetMode="External" Id="R42198f67bf0342af" /><Relationship Type="http://schemas.openxmlformats.org/officeDocument/2006/relationships/hyperlink" Target="https://v.douyin.com/QHOABaZ8XpY/" TargetMode="External" Id="R8aebd09a67ba4221" /><Relationship Type="http://schemas.openxmlformats.org/officeDocument/2006/relationships/hyperlink" Target="https://v.douyin.com/0K55vTkPf80/" TargetMode="External" Id="R10089f6e823843b3" /><Relationship Type="http://schemas.openxmlformats.org/officeDocument/2006/relationships/hyperlink" Target="https://v.douyin.com/o3WY-D0i2SU" TargetMode="External" Id="R81b911e4ff9041a9" /><Relationship Type="http://schemas.openxmlformats.org/officeDocument/2006/relationships/hyperlink" Target="https://v.douyin.com/LMBUS2mv5nQ/" TargetMode="External" Id="Rf2a34c8d86fd4e26" /><Relationship Type="http://schemas.openxmlformats.org/officeDocument/2006/relationships/hyperlink" Target="https://v.douyin.com/nWTl7vI_tXs/" TargetMode="External" Id="R1336c14996354220" /><Relationship Type="http://schemas.openxmlformats.org/officeDocument/2006/relationships/hyperlink" Target="https://v.douyin.com/tT8IDZkGMz0/" TargetMode="External" Id="Reff713244e804fec" /><Relationship Type="http://schemas.openxmlformats.org/officeDocument/2006/relationships/hyperlink" Target="https://v.douyin.com/OMuv4vkQCnM/" TargetMode="External" Id="Rb0e9efad5c6a4455" /><Relationship Type="http://schemas.openxmlformats.org/officeDocument/2006/relationships/hyperlink" Target="https://v.douyin.com/PkAgFU-6NMY/" TargetMode="External" Id="Raf201742d78e46a3" /><Relationship Type="http://schemas.openxmlformats.org/officeDocument/2006/relationships/hyperlink" Target="https://v.douyin.com/CKkb6Tnx8kY/" TargetMode="External" Id="R43241c3649c94158" /><Relationship Type="http://schemas.openxmlformats.org/officeDocument/2006/relationships/hyperlink" Target="https://v.douyin.com/1_t7DAMMbt0/" TargetMode="External" Id="Rec7c444782b84b94" /><Relationship Type="http://schemas.openxmlformats.org/officeDocument/2006/relationships/hyperlink" Target="https://v.douyin.com/-l8PolKZPYw/" TargetMode="External" Id="R03413f12ac4944b8" /><Relationship Type="http://schemas.openxmlformats.org/officeDocument/2006/relationships/hyperlink" Target="https://v.douyin.com/xWO7974UPpc/" TargetMode="External" Id="R537db2cc445c4e93" /><Relationship Type="http://schemas.openxmlformats.org/officeDocument/2006/relationships/hyperlink" Target="https://v.douyin.com/thvS9L2IReA/" TargetMode="External" Id="Ra7e7574a59be412a" /><Relationship Type="http://schemas.openxmlformats.org/officeDocument/2006/relationships/hyperlink" Target="https://v.douyin.com/aanjCgBObrI/" TargetMode="External" Id="R12a0644729bd49dd" /><Relationship Type="http://schemas.openxmlformats.org/officeDocument/2006/relationships/hyperlink" Target="https://v.douyin.com/DNbu9Uasf6o/" TargetMode="External" Id="Rd5c7d7097b534d7d" /><Relationship Type="http://schemas.openxmlformats.org/officeDocument/2006/relationships/hyperlink" Target="https://v.douyin.com/KJaISoIxLbU/" TargetMode="External" Id="R394ba664bbf04a74" /><Relationship Type="http://schemas.openxmlformats.org/officeDocument/2006/relationships/hyperlink" Target="https://v.douyin.com/Ct9hnyrL9Uc/" TargetMode="External" Id="Re59682bb27434375" /><Relationship Type="http://schemas.openxmlformats.org/officeDocument/2006/relationships/hyperlink" Target="https://v.douyin.com/3hiHS1_T408/" TargetMode="External" Id="Rda70a6a90d2b48ac" /><Relationship Type="http://schemas.openxmlformats.org/officeDocument/2006/relationships/hyperlink" Target="https://v.douyin.com/XbgCixFkm3o/" TargetMode="External" Id="Ra553a99ef2f94771" /><Relationship Type="http://schemas.openxmlformats.org/officeDocument/2006/relationships/hyperlink" Target="https://v.douyin.com/16ZUpOdgoAs/" TargetMode="External" Id="Ra7842a5a33b549ad" /><Relationship Type="http://schemas.openxmlformats.org/officeDocument/2006/relationships/hyperlink" Target="https://v.douyin.com/EzilU_chRrE/" TargetMode="External" Id="Rf17a2b9a55d14dd8" /><Relationship Type="http://schemas.openxmlformats.org/officeDocument/2006/relationships/hyperlink" Target="https://v.douyin.com/v4bqWZel5Qc/" TargetMode="External" Id="R041ddb6aee904034" /><Relationship Type="http://schemas.openxmlformats.org/officeDocument/2006/relationships/hyperlink" Target="https://v.douyin.com/yACJcyK96A4/" TargetMode="External" Id="Rb200a7501fba426c" /><Relationship Type="http://schemas.openxmlformats.org/officeDocument/2006/relationships/hyperlink" Target="https://v.douyin.com/ngKT1OYusH4/" TargetMode="External" Id="R19973b9b14ca4dd9" /><Relationship Type="http://schemas.openxmlformats.org/officeDocument/2006/relationships/hyperlink" Target="https://v.douyin.com/ZnWPfsIG9XU/" TargetMode="External" Id="R75982aa01b434743" /><Relationship Type="http://schemas.openxmlformats.org/officeDocument/2006/relationships/hyperlink" Target="https://v.douyin.com/UhPgGSyTbak/" TargetMode="External" Id="Rd4c649b2c96b43bd" /><Relationship Type="http://schemas.openxmlformats.org/officeDocument/2006/relationships/hyperlink" Target="https://v.douyin.com/oywc2rq4MRI/" TargetMode="External" Id="R3303fc06d0f942e8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3" defaultRowHeight="18"/>
  <x:cols>
    <x:col min="1" max="1" width="13.081999778747559" style="81" customWidth="1"/>
    <x:col min="2" max="2" width="13.081999778747559" style="81" customWidth="1"/>
    <x:col min="3" max="3" width="13.081999778747559" style="81" customWidth="1"/>
    <x:col min="4" max="4" width="11.10159969329834" style="81" hidden="1" customWidth="1"/>
    <x:col min="5" max="5" width="10.343799591064453" style="81" hidden="1" customWidth="1"/>
    <x:col min="6" max="6" width="12.761699676513672" style="81" hidden="1" customWidth="1"/>
    <x:col min="7" max="7" width="19.832000732421875" style="81" customWidth="1"/>
    <x:col min="8" max="8" width="15.511699676513672" style="81" customWidth="1"/>
    <x:col min="9" max="9" width="12.8125" style="82" customWidth="1"/>
    <x:col min="10" max="10" width="15.781200408935547" style="81" customWidth="1"/>
    <x:col min="11" max="11" width="12.543000221252441" style="81" customWidth="1"/>
    <x:col min="12" max="19" width="12.144499778747559" style="81" customWidth="1"/>
    <x:col min="20" max="21" width="11.46090030670166" style="81" customWidth="1"/>
    <x:col min="22" max="22" width="8.800780296325684" style="81" customWidth="1"/>
    <x:col min="23" max="23" width="10.203100204467773" style="81" customWidth="1"/>
    <x:col min="24" max="24" width="17.792999267578125" style="83" customWidth="1"/>
    <x:col min="25" max="25" width="19.1914005279541" style="83" customWidth="1"/>
    <x:col min="26" max="32" width="13.671899795532227" style="83" customWidth="0"/>
  </x:cols>
  <x:sheetData>
    <x:row r="1" ht="43.5" customHeight="1">
      <x:c r="A1" s="4" t="s">
        <x:v>0</x:v>
      </x:c>
      <x:c r="B1" s="5" t="s">
        <x:v>1</x:v>
      </x:c>
      <x:c r="C1" s="5" t="s">
        <x:v>1</x:v>
      </x:c>
      <x:c r="D1" s="5" t="s">
        <x:v>1</x:v>
      </x:c>
      <x:c r="E1" s="5" t="s">
        <x:v>1</x:v>
      </x:c>
      <x:c r="F1" s="5" t="s">
        <x:v>1</x:v>
      </x:c>
      <x:c r="G1" s="5" t="s">
        <x:v>1</x:v>
      </x:c>
      <x:c r="H1" s="5" t="s">
        <x:v>1</x:v>
      </x:c>
      <x:c r="I1" s="5" t="s">
        <x:v>1</x:v>
      </x:c>
      <x:c r="J1" s="5" t="s">
        <x:v>1</x:v>
      </x:c>
      <x:c r="K1" s="5" t="s">
        <x:v>1</x:v>
      </x:c>
      <x:c r="L1" s="5" t="s">
        <x:v>1</x:v>
      </x:c>
      <x:c r="M1" s="5" t="s">
        <x:v>1</x:v>
      </x:c>
      <x:c r="N1" s="5" t="s">
        <x:v>1</x:v>
      </x:c>
      <x:c r="O1" s="5" t="s">
        <x:v>1</x:v>
      </x:c>
      <x:c r="P1" s="5" t="s">
        <x:v>1</x:v>
      </x:c>
      <x:c r="Q1" s="5" t="s">
        <x:v>1</x:v>
      </x:c>
      <x:c r="R1" s="5" t="s">
        <x:v>1</x:v>
      </x:c>
      <x:c r="S1" s="5" t="s">
        <x:v>1</x:v>
      </x:c>
      <x:c r="T1" s="6" t="s">
        <x:v>1</x:v>
      </x:c>
      <x:c r="U1" s="6" t="s">
        <x:v>1</x:v>
      </x:c>
    </x:row>
    <x:row r="2" s="10" customFormat="1" ht="79.5" customHeight="1">
      <x:c r="A2" s="7" t="s">
        <x:v>2</x:v>
      </x:c>
      <x:c r="B2" s="8" t="s">
        <x:v>1</x:v>
      </x:c>
      <x:c r="C2" s="8" t="s">
        <x:v>1</x:v>
      </x:c>
      <x:c r="D2" s="8" t="s">
        <x:v>1</x:v>
      </x:c>
      <x:c r="E2" s="8" t="s">
        <x:v>1</x:v>
      </x:c>
      <x:c r="F2" s="8" t="s">
        <x:v>1</x:v>
      </x:c>
      <x:c r="G2" s="8" t="s">
        <x:v>1</x:v>
      </x:c>
      <x:c r="H2" s="8" t="s">
        <x:v>1</x:v>
      </x:c>
      <x:c r="I2" s="8" t="s">
        <x:v>1</x:v>
      </x:c>
      <x:c r="J2" s="8" t="s">
        <x:v>1</x:v>
      </x:c>
      <x:c r="K2" s="8" t="s">
        <x:v>1</x:v>
      </x:c>
      <x:c r="L2" s="8" t="s">
        <x:v>1</x:v>
      </x:c>
      <x:c r="M2" s="8" t="s">
        <x:v>1</x:v>
      </x:c>
      <x:c r="N2" s="8" t="s">
        <x:v>1</x:v>
      </x:c>
      <x:c r="O2" s="8" t="s">
        <x:v>1</x:v>
      </x:c>
      <x:c r="P2" s="8" t="s">
        <x:v>1</x:v>
      </x:c>
      <x:c r="Q2" s="8" t="s">
        <x:v>1</x:v>
      </x:c>
      <x:c r="R2" s="8" t="s">
        <x:v>1</x:v>
      </x:c>
      <x:c r="S2" s="8" t="s">
        <x:v>1</x:v>
      </x:c>
      <x:c r="T2" s="9" t="s">
        <x:v>1</x:v>
      </x:c>
      <x:c r="U2" s="9" t="s">
        <x:v>1</x:v>
      </x:c>
      <x:c r="V2" s="10" t="s">
        <x:v>1</x:v>
      </x:c>
      <x:c r="W2" s="10" t="s">
        <x:v>1</x:v>
      </x:c>
      <x:c r="X2" s="10" t="s">
        <x:v>1</x:v>
      </x:c>
      <x:c r="Y2" s="10" t="s">
        <x:v>1</x:v>
      </x:c>
      <x:c r="Z2" s="10" t="s">
        <x:v>1</x:v>
      </x:c>
      <x:c r="AA2" s="10" t="s">
        <x:v>1</x:v>
      </x:c>
      <x:c r="AB2" s="10" t="s">
        <x:v>1</x:v>
      </x:c>
      <x:c r="AC2" s="10" t="s">
        <x:v>1</x:v>
      </x:c>
      <x:c r="AD2" s="10" t="s">
        <x:v>1</x:v>
      </x:c>
      <x:c r="AE2" s="10" t="s">
        <x:v>1</x:v>
      </x:c>
      <x:c r="AF2" s="10" t="s">
        <x:v>1</x:v>
      </x:c>
    </x:row>
    <x:row r="3" s="10" customFormat="1">
      <x:c r="A3" s="11" t="s">
        <x:v>3</x:v>
      </x:c>
      <x:c r="B3" s="12" t="s">
        <x:v>4</x:v>
      </x:c>
      <x:c r="C3" s="12" t="s">
        <x:v>5</x:v>
      </x:c>
      <x:c r="D3" s="11" t="s">
        <x:v>6</x:v>
      </x:c>
      <x:c r="E3" s="11" t="s">
        <x:v>7</x:v>
      </x:c>
      <x:c r="F3" s="13" t="s">
        <x:v>8</x:v>
      </x:c>
      <x:c r="G3" s="14" t="s">
        <x:v>9</x:v>
      </x:c>
      <x:c r="H3" s="15" t="s">
        <x:v>10</x:v>
      </x:c>
      <x:c r="I3" s="16" t="s">
        <x:v>11</x:v>
      </x:c>
      <x:c r="J3" s="17" t="s">
        <x:v>12</x:v>
      </x:c>
      <x:c r="K3" s="18" t="s">
        <x:v>13</x:v>
      </x:c>
      <x:c r="L3" s="17" t="s">
        <x:v>14</x:v>
      </x:c>
      <x:c r="M3" s="17" t="s">
        <x:v>15</x:v>
      </x:c>
      <x:c r="N3" s="17" t="s">
        <x:v>16</x:v>
      </x:c>
      <x:c r="O3" s="17" t="s">
        <x:v>17</x:v>
      </x:c>
      <x:c r="P3" s="11" t="s">
        <x:v>18</x:v>
      </x:c>
      <x:c r="Q3" s="11" t="s">
        <x:v>19</x:v>
      </x:c>
      <x:c r="R3" s="17" t="s">
        <x:v>20</x:v>
      </x:c>
      <x:c r="S3" s="11" t="s">
        <x:v>21</x:v>
      </x:c>
      <x:c r="T3" s="19" t="s">
        <x:v>22</x:v>
      </x:c>
      <x:c r="U3" s="19" t="s">
        <x:v>23</x:v>
      </x:c>
      <x:c r="V3" s="10" t="s">
        <x:v>24</x:v>
      </x:c>
      <x:c r="W3" s="10" t="s">
        <x:v>25</x:v>
      </x:c>
      <x:c r="X3" s="10" t="s">
        <x:v>26</x:v>
      </x:c>
      <x:c r="Y3" s="10" t="s">
        <x:v>27</x:v>
      </x:c>
      <x:c r="Z3" s="10" t="s">
        <x:v>1</x:v>
      </x:c>
      <x:c r="AA3" s="10" t="s">
        <x:v>1</x:v>
      </x:c>
      <x:c r="AB3" s="10" t="s">
        <x:v>1</x:v>
      </x:c>
      <x:c r="AC3" s="10" t="s">
        <x:v>1</x:v>
      </x:c>
      <x:c r="AD3" s="10" t="s">
        <x:v>1</x:v>
      </x:c>
      <x:c r="AE3" s="10" t="s">
        <x:v>1</x:v>
      </x:c>
      <x:c r="AF3" s="10" t="s">
        <x:v>1</x:v>
      </x:c>
    </x:row>
    <x:row r="4" s="10" customFormat="1">
      <x:c r="A4" s="20" t="s">
        <x:v>28</x:v>
      </x:c>
      <x:c r="B4" s="21">
        <x:v>14800</x:v>
      </x:c>
      <x:c r="C4" s="21">
        <x:v>16600</x:v>
      </x:c>
      <x:c r="D4" s="22">
        <x:v>57000</x:v>
      </x:c>
      <x:c r="E4" s="23" t="n">
        <x:f>=B4/D4*1000</x:f>
        <x:v>259.64912280701753</x:v>
      </x:c>
      <x:c r="F4" s="24">
        <x:v>69000</x:v>
      </x:c>
      <x:c r="G4" s="25">
        <x:v>14800</x:v>
      </x:c>
      <x:c r="H4" s="25">
        <x:v>16600</x:v>
      </x:c>
      <x:c r="I4" s="26" t="n">
        <x:f>=(H4-C4)/C4</x:f>
        <x:v>0</x:v>
      </x:c>
      <x:c r="J4" s="27" t="n">
        <x:f>=(H4*80%)*1000/30</x:f>
        <x:v>442666.6666666667</x:v>
      </x:c>
      <x:c r="K4" s="24" t="n">
        <x:f>=H4/200*1000*1.5</x:f>
        <x:v>124500</x:v>
      </x:c>
      <x:c r="L4" s="28" t="n">
        <x:f>=K4*17/1000</x:f>
        <x:v>2116.5</x:v>
      </x:c>
      <x:c r="M4" s="28" t="n">
        <x:f>=K4*20/1000</x:f>
        <x:v>2490</x:v>
      </x:c>
      <x:c r="N4" s="28" t="n">
        <x:f>=J4-K4</x:f>
        <x:v>318166.6666666667</x:v>
      </x:c>
      <x:c r="O4" s="28" t="n">
        <x:f>=(N4/1000)*5.5</x:f>
        <x:v>1749.9166666666667</x:v>
      </x:c>
      <x:c r="P4" s="28" t="n">
        <x:f>=30*18+200*0.8+300*0.2+200*0.1</x:f>
        <x:v>780</x:v>
      </x:c>
      <x:c r="Q4" s="28" t="n">
        <x:f>=M4+O4+P4</x:f>
        <x:v>5019.916666666667</x:v>
      </x:c>
      <x:c r="R4" s="28" t="n">
        <x:f>=(H4*70%)-Q4</x:f>
        <x:v>6600.083333333333</x:v>
      </x:c>
      <x:c r="S4" s="29" t="n">
        <x:f>=R4/H4</x:f>
        <x:v>0.3975953815261044</x:v>
      </x:c>
      <x:c r="T4" s="30" t="n">
        <x:f>=R4*0.65</x:f>
        <x:v>4290.054166666667</x:v>
      </x:c>
      <x:c r="U4" s="29" t="n">
        <x:f>=T4/H4</x:f>
        <x:v>0.2584369979919679</x:v>
      </x:c>
      <x:c r="V4" s="10">
        <x:v>197.3</x:v>
      </x:c>
      <x:c r="W4" s="10">
        <x:v>7</x:v>
      </x:c>
      <x:c r="X4" s="10">
        <x:v>237.6</x:v>
      </x:c>
      <x:c r="Y4" s="10">
        <x:v>7</x:v>
      </x:c>
      <x:c r="Z4" s="10" t="s">
        <x:v>1</x:v>
      </x:c>
      <x:c r="AA4" s="10" t="s">
        <x:v>1</x:v>
      </x:c>
      <x:c r="AB4" s="10" t="s">
        <x:v>1</x:v>
      </x:c>
      <x:c r="AC4" s="10" t="s">
        <x:v>1</x:v>
      </x:c>
      <x:c r="AD4" s="10" t="s">
        <x:v>1</x:v>
      </x:c>
      <x:c r="AE4" s="10" t="s">
        <x:v>1</x:v>
      </x:c>
      <x:c r="AF4" s="10" t="s">
        <x:v>1</x:v>
      </x:c>
    </x:row>
    <x:row r="5" s="10" customFormat="1">
      <x:c r="A5" s="20" t="s">
        <x:v>29</x:v>
      </x:c>
      <x:c r="B5" s="21">
        <x:v>11900</x:v>
      </x:c>
      <x:c r="C5" s="21">
        <x:v>14300</x:v>
      </x:c>
      <x:c r="D5" s="22">
        <x:v>32000</x:v>
      </x:c>
      <x:c r="E5" s="23" t="n">
        <x:f>=B5/D5*1000</x:f>
        <x:v>371.875</x:v>
      </x:c>
      <x:c r="F5" s="24">
        <x:v>54000</x:v>
      </x:c>
      <x:c r="G5" s="31" t="n">
        <x:f>=H5*0.7</x:f>
        <x:v>12600</x:v>
      </x:c>
      <x:c r="H5" s="21">
        <x:v>18000</x:v>
      </x:c>
      <x:c r="I5" s="32" t="n">
        <x:f>=(H5-C5)/C5</x:f>
        <x:v>0.25874125874125875</x:v>
      </x:c>
      <x:c r="J5" s="27" t="n">
        <x:f>=(H5*80%)*1000/30</x:f>
        <x:v>480000</x:v>
      </x:c>
      <x:c r="K5" s="24" t="n">
        <x:f>=H5/200*1000*1.5</x:f>
        <x:v>135000</x:v>
      </x:c>
      <x:c r="L5" s="28" t="n">
        <x:f>=K5*17/1000</x:f>
        <x:v>2295</x:v>
      </x:c>
      <x:c r="M5" s="28" t="n">
        <x:f>=K5*20/1000</x:f>
        <x:v>2700</x:v>
      </x:c>
      <x:c r="N5" s="28" t="n">
        <x:f>=J5-K5</x:f>
        <x:v>345000</x:v>
      </x:c>
      <x:c r="O5" s="28" t="n">
        <x:f>=(N5/1000)*5.5</x:f>
        <x:v>1897.5</x:v>
      </x:c>
      <x:c r="P5" s="28" t="n">
        <x:f>=20*18+200*0.8+300*0.2+200*0.1</x:f>
        <x:v>600</x:v>
      </x:c>
      <x:c r="Q5" s="28" t="n">
        <x:f>=M5+O5+P5</x:f>
        <x:v>5197.5</x:v>
      </x:c>
      <x:c r="R5" s="28" t="n">
        <x:f>=(H5*70%)-Q5</x:f>
        <x:v>7402.5</x:v>
      </x:c>
      <x:c r="S5" s="29" t="n">
        <x:f>=R5/H5</x:f>
        <x:v>0.41125</x:v>
      </x:c>
      <x:c r="T5" s="33" t="n">
        <x:f>=R5*0.65</x:f>
        <x:v>4811.625</x:v>
      </x:c>
      <x:c r="U5" s="29" t="n">
        <x:f>=T5/H5</x:f>
        <x:v>0.2673125</x:v>
      </x:c>
      <x:c r="V5" s="10">
        <x:v>257.1</x:v>
      </x:c>
      <x:c r="W5" s="10">
        <x:v>5.6</x:v>
      </x:c>
      <x:c r="X5" s="10">
        <x:v>257.1</x:v>
      </x:c>
      <x:c r="Y5" s="10">
        <x:v>5.6</x:v>
      </x:c>
      <x:c r="Z5" s="10" t="s">
        <x:v>1</x:v>
      </x:c>
      <x:c r="AA5" s="10" t="s">
        <x:v>1</x:v>
      </x:c>
      <x:c r="AB5" s="10" t="s">
        <x:v>1</x:v>
      </x:c>
      <x:c r="AC5" s="10" t="s">
        <x:v>1</x:v>
      </x:c>
      <x:c r="AD5" s="10" t="s">
        <x:v>1</x:v>
      </x:c>
      <x:c r="AE5" s="10" t="s">
        <x:v>1</x:v>
      </x:c>
      <x:c r="AF5" s="10" t="s">
        <x:v>1</x:v>
      </x:c>
    </x:row>
    <x:row r="6" s="10" customFormat="1">
      <x:c r="A6" s="20" t="s">
        <x:v>30</x:v>
      </x:c>
      <x:c r="B6" s="21">
        <x:v>14250</x:v>
      </x:c>
      <x:c r="C6" s="21">
        <x:v>17100</x:v>
      </x:c>
      <x:c r="D6" s="22">
        <x:v>261000</x:v>
      </x:c>
      <x:c r="E6" s="23" t="n">
        <x:f>=B6/D6*1000</x:f>
        <x:v>54.59770114942529</x:v>
      </x:c>
      <x:c r="F6" s="24">
        <x:v>189000</x:v>
      </x:c>
      <x:c r="G6" s="31" t="n">
        <x:f>=H6*0.7</x:f>
        <x:v>14000</x:v>
      </x:c>
      <x:c r="H6" s="21">
        <x:v>20000</x:v>
      </x:c>
      <x:c r="I6" s="32" t="n">
        <x:f>=(H6-C6)/C6</x:f>
        <x:v>0.1695906432748538</x:v>
      </x:c>
      <x:c r="J6" s="27" t="n">
        <x:f>=(H6*80%)*1000/30</x:f>
        <x:v>533333.3333333334</x:v>
      </x:c>
      <x:c r="K6" s="24" t="n">
        <x:f>=H6/200*1000*1.5</x:f>
        <x:v>150000</x:v>
      </x:c>
      <x:c r="L6" s="28" t="n">
        <x:f>=K6*17/1000</x:f>
        <x:v>2550</x:v>
      </x:c>
      <x:c r="M6" s="28" t="n">
        <x:f>=K6*20/1000</x:f>
        <x:v>3000</x:v>
      </x:c>
      <x:c r="N6" s="28" t="n">
        <x:f>=J6-K6</x:f>
        <x:v>383333.3333333334</x:v>
      </x:c>
      <x:c r="O6" s="28" t="n">
        <x:f>=(N6/1000)*5.5</x:f>
        <x:v>2108.3333333333335</x:v>
      </x:c>
      <x:c r="P6" s="28" t="n">
        <x:f>=30*18+200*0.8+300*0.2+200*0.1</x:f>
        <x:v>780</x:v>
      </x:c>
      <x:c r="Q6" s="28" t="n">
        <x:f>=M6+O6+P6</x:f>
        <x:v>5888.333333333334</x:v>
      </x:c>
      <x:c r="R6" s="28" t="n">
        <x:f>=(H6*70%)-Q6</x:f>
        <x:v>8111.666666666666</x:v>
      </x:c>
      <x:c r="S6" s="29" t="n">
        <x:f>=R6/H6</x:f>
        <x:v>0.4055833333333333</x:v>
      </x:c>
      <x:c r="T6" s="33" t="n">
        <x:f>=R6*0.65</x:f>
        <x:v>5272.583333333333</x:v>
      </x:c>
      <x:c r="U6" s="29" t="n">
        <x:f>=T6/H6</x:f>
        <x:v>0.26362916666666664</x:v>
      </x:c>
      <x:c r="V6" s="10">
        <x:v>53.7</x:v>
      </x:c>
      <x:c r="W6" s="10">
        <x:v>19.1</x:v>
      </x:c>
      <x:c r="X6" s="10">
        <x:v>53.9</x:v>
      </x:c>
      <x:c r="Y6" s="10">
        <x:v>19.1</x:v>
      </x:c>
      <x:c r="Z6" s="10" t="s">
        <x:v>1</x:v>
      </x:c>
      <x:c r="AA6" s="10" t="s">
        <x:v>1</x:v>
      </x:c>
      <x:c r="AB6" s="10" t="s">
        <x:v>1</x:v>
      </x:c>
      <x:c r="AC6" s="10" t="s">
        <x:v>1</x:v>
      </x:c>
      <x:c r="AD6" s="10" t="s">
        <x:v>1</x:v>
      </x:c>
      <x:c r="AE6" s="10" t="s">
        <x:v>1</x:v>
      </x:c>
      <x:c r="AF6" s="10" t="s">
        <x:v>1</x:v>
      </x:c>
    </x:row>
    <x:row r="7" s="10" customFormat="1">
      <x:c r="A7" s="20" t="s">
        <x:v>31</x:v>
      </x:c>
      <x:c r="B7" s="21">
        <x:v>8000</x:v>
      </x:c>
      <x:c r="C7" s="21">
        <x:v>10000</x:v>
      </x:c>
      <x:c r="D7" s="22">
        <x:v>35000</x:v>
      </x:c>
      <x:c r="E7" s="23" t="n">
        <x:f>=B7/D7*1000</x:f>
        <x:v>228.57142857142856</x:v>
      </x:c>
      <x:c r="F7" s="24">
        <x:v>84000</x:v>
      </x:c>
      <x:c r="G7" s="34" t="n">
        <x:f>=H7*0.7</x:f>
        <x:v>8400</x:v>
      </x:c>
      <x:c r="H7" s="25">
        <x:v>12000</x:v>
      </x:c>
      <x:c r="I7" s="26" t="n">
        <x:f>=(H7-C7)/C7</x:f>
        <x:v>0.2</x:v>
      </x:c>
      <x:c r="J7" s="27" t="n">
        <x:f>=(H7*80%)*1000/30</x:f>
        <x:v>320000</x:v>
      </x:c>
      <x:c r="K7" s="24" t="n">
        <x:f>=H7/200*1000*1.5</x:f>
        <x:v>90000</x:v>
      </x:c>
      <x:c r="L7" s="28" t="n">
        <x:f>=K7*17/1000</x:f>
        <x:v>1530</x:v>
      </x:c>
      <x:c r="M7" s="28" t="n">
        <x:f>=K7*20/1000</x:f>
        <x:v>1800</x:v>
      </x:c>
      <x:c r="N7" s="28" t="n">
        <x:f>=J7-K7</x:f>
        <x:v>230000</x:v>
      </x:c>
      <x:c r="O7" s="28" t="n">
        <x:f>=(N7/1000)*5.5</x:f>
        <x:v>1265</x:v>
      </x:c>
      <x:c r="P7" s="28" t="n">
        <x:f>=15*18+200*0.8+300*0.2+200*0.1</x:f>
        <x:v>510</x:v>
      </x:c>
      <x:c r="Q7" s="28" t="n">
        <x:f>=M7+O7+P7</x:f>
        <x:v>3575</x:v>
      </x:c>
      <x:c r="R7" s="28" t="n">
        <x:f>=(H7*70%)-Q7</x:f>
        <x:v>4825</x:v>
      </x:c>
      <x:c r="S7" s="29" t="n">
        <x:f>=R7/H7</x:f>
        <x:v>0.40208333333333335</x:v>
      </x:c>
      <x:c r="T7" s="33" t="n">
        <x:f>=R7*0.65</x:f>
        <x:v>3136.25</x:v>
      </x:c>
      <x:c r="U7" s="29" t="n">
        <x:f>=T7/H7</x:f>
        <x:v>0.26135416666666667</x:v>
      </x:c>
      <x:c r="V7" s="10">
        <x:v>169.2</x:v>
      </x:c>
      <x:c r="W7" s="35">
        <x:v>95</x:v>
      </x:c>
      <x:c r="X7" s="10">
        <x:v>203.8</x:v>
      </x:c>
      <x:c r="Y7" s="10">
        <x:v>8.4</x:v>
      </x:c>
      <x:c r="Z7" s="10" t="s">
        <x:v>1</x:v>
      </x:c>
      <x:c r="AA7" s="10" t="s">
        <x:v>1</x:v>
      </x:c>
      <x:c r="AB7" s="10" t="s">
        <x:v>1</x:v>
      </x:c>
      <x:c r="AC7" s="10" t="s">
        <x:v>1</x:v>
      </x:c>
      <x:c r="AD7" s="10" t="s">
        <x:v>1</x:v>
      </x:c>
      <x:c r="AE7" s="10" t="s">
        <x:v>1</x:v>
      </x:c>
      <x:c r="AF7" s="10" t="s">
        <x:v>1</x:v>
      </x:c>
    </x:row>
    <x:row r="8" s="10" customFormat="1">
      <x:c r="A8" s="20" t="s">
        <x:v>32</x:v>
      </x:c>
      <x:c r="B8" s="21">
        <x:v>15000</x:v>
      </x:c>
      <x:c r="C8" s="21">
        <x:v>18000</x:v>
      </x:c>
      <x:c r="D8" s="22">
        <x:v>13000</x:v>
      </x:c>
      <x:c r="E8" s="23" t="n">
        <x:f>=B8/D8*1000</x:f>
        <x:v>1153.8461538461538</x:v>
      </x:c>
      <x:c r="F8" s="24">
        <x:v>84000</x:v>
      </x:c>
      <x:c r="G8" s="31" t="n">
        <x:f>=H8*0.7</x:f>
        <x:v>14000</x:v>
      </x:c>
      <x:c r="H8" s="21">
        <x:v>20000</x:v>
      </x:c>
      <x:c r="I8" s="32" t="n">
        <x:f>=(H8-C8)/C8</x:f>
        <x:v>0.1111111111111111</x:v>
      </x:c>
      <x:c r="J8" s="27" t="n">
        <x:f>=(H8*80%)*1000/30</x:f>
        <x:v>533333.3333333334</x:v>
      </x:c>
      <x:c r="K8" s="24" t="n">
        <x:f>=H8/200*1000*1.5</x:f>
        <x:v>150000</x:v>
      </x:c>
      <x:c r="L8" s="28" t="n">
        <x:f>=K8*17/1000</x:f>
        <x:v>2550</x:v>
      </x:c>
      <x:c r="M8" s="28" t="n">
        <x:f>=K8*20/1000</x:f>
        <x:v>3000</x:v>
      </x:c>
      <x:c r="N8" s="28" t="n">
        <x:f>=J8-K8</x:f>
        <x:v>383333.3333333334</x:v>
      </x:c>
      <x:c r="O8" s="28" t="n">
        <x:f>=(N8/1000)*5.5</x:f>
        <x:v>2108.3333333333335</x:v>
      </x:c>
      <x:c r="P8" s="28" t="n">
        <x:f>=30*18+200*0.8+300*0.2+200*0.1</x:f>
        <x:v>780</x:v>
      </x:c>
      <x:c r="Q8" s="28" t="n">
        <x:f>=M8+O8+P8</x:f>
        <x:v>5888.333333333334</x:v>
      </x:c>
      <x:c r="R8" s="28" t="n">
        <x:f>=(H8*70%)-Q8</x:f>
        <x:v>8111.666666666666</x:v>
      </x:c>
      <x:c r="S8" s="29" t="n">
        <x:f>=R8/H8</x:f>
        <x:v>0.4055833333333333</x:v>
      </x:c>
      <x:c r="T8" s="33" t="n">
        <x:f>=R8*0.65</x:f>
        <x:v>5272.583333333333</x:v>
      </x:c>
      <x:c r="U8" s="29" t="n">
        <x:f>=T8/H8</x:f>
        <x:v>0.26362916666666664</x:v>
      </x:c>
      <x:c r="V8" s="36">
        <x:v>1210.6</x:v>
      </x:c>
      <x:c r="W8" s="37">
        <x:v>10.9</x:v>
      </x:c>
      <x:c r="X8" s="37">
        <x:v>1281</x:v>
      </x:c>
      <x:c r="Y8" s="10">
        <x:v>10.9</x:v>
      </x:c>
      <x:c r="Z8" s="10" t="s">
        <x:v>1</x:v>
      </x:c>
      <x:c r="AA8" s="10" t="s">
        <x:v>1</x:v>
      </x:c>
      <x:c r="AB8" s="10" t="s">
        <x:v>1</x:v>
      </x:c>
      <x:c r="AC8" s="10" t="s">
        <x:v>1</x:v>
      </x:c>
      <x:c r="AD8" s="10" t="s">
        <x:v>1</x:v>
      </x:c>
      <x:c r="AE8" s="10" t="s">
        <x:v>1</x:v>
      </x:c>
      <x:c r="AF8" s="10" t="s">
        <x:v>1</x:v>
      </x:c>
    </x:row>
    <x:row r="9" s="10" customFormat="1">
      <x:c r="A9" s="20" t="s">
        <x:v>33</x:v>
      </x:c>
      <x:c r="B9" s="21">
        <x:v>10000</x:v>
      </x:c>
      <x:c r="C9" s="21">
        <x:v>12000</x:v>
      </x:c>
      <x:c r="D9" s="22">
        <x:v>26000</x:v>
      </x:c>
      <x:c r="E9" s="23" t="n">
        <x:f>=B9/D9*1000</x:f>
        <x:v>384.61538461538464</x:v>
      </x:c>
      <x:c r="F9" s="24">
        <x:v>70000</x:v>
      </x:c>
      <x:c r="G9" s="34" t="n">
        <x:f>=H9*0.7</x:f>
        <x:v>10500</x:v>
      </x:c>
      <x:c r="H9" s="25">
        <x:v>15000</x:v>
      </x:c>
      <x:c r="I9" s="26" t="n">
        <x:f>=(H9-C9)/C9</x:f>
        <x:v>0.25</x:v>
      </x:c>
      <x:c r="J9" s="27" t="n">
        <x:f>=(H9*80%)*1000/30</x:f>
        <x:v>400000</x:v>
      </x:c>
      <x:c r="K9" s="24" t="n">
        <x:f>=H9/200*1000*1.5</x:f>
        <x:v>112500</x:v>
      </x:c>
      <x:c r="L9" s="28" t="n">
        <x:f>=K9*17/1000</x:f>
        <x:v>1912.5</x:v>
      </x:c>
      <x:c r="M9" s="28" t="n">
        <x:f>=K9*20/1000</x:f>
        <x:v>2250</x:v>
      </x:c>
      <x:c r="N9" s="28" t="n">
        <x:f>=J9-K9</x:f>
        <x:v>287500</x:v>
      </x:c>
      <x:c r="O9" s="28" t="n">
        <x:f>=(N9/1000)*5.5</x:f>
        <x:v>1581.25</x:v>
      </x:c>
      <x:c r="P9" s="28" t="n">
        <x:f>=20*18+200*0.8+300*0.2+200*0.1</x:f>
        <x:v>600</x:v>
      </x:c>
      <x:c r="Q9" s="28" t="n">
        <x:f>=M9+O9+P9</x:f>
        <x:v>4431.25</x:v>
      </x:c>
      <x:c r="R9" s="28" t="n">
        <x:f>=(H9*70%)-Q9</x:f>
        <x:v>6068.75</x:v>
      </x:c>
      <x:c r="S9" s="29" t="n">
        <x:f>=R9/H9</x:f>
        <x:v>0.40458333333333335</x:v>
      </x:c>
      <x:c r="T9" s="33" t="n">
        <x:f>=R9*0.65</x:f>
        <x:v>3944.6875</x:v>
      </x:c>
      <x:c r="U9" s="29" t="n">
        <x:f>=T9/H9</x:f>
        <x:v>0.26297916666666665</x:v>
      </x:c>
      <x:c r="V9" s="10">
        <x:v>138.7</x:v>
      </x:c>
      <x:c r="W9" s="10">
        <x:v>30.7</x:v>
      </x:c>
      <x:c r="X9" s="10">
        <x:v>199</x:v>
      </x:c>
      <x:c r="Y9" s="10">
        <x:v>30.7</x:v>
      </x:c>
      <x:c r="Z9" s="10" t="s">
        <x:v>1</x:v>
      </x:c>
      <x:c r="AA9" s="10" t="s">
        <x:v>1</x:v>
      </x:c>
      <x:c r="AB9" s="10" t="s">
        <x:v>1</x:v>
      </x:c>
      <x:c r="AC9" s="10" t="s">
        <x:v>1</x:v>
      </x:c>
      <x:c r="AD9" s="10" t="s">
        <x:v>1</x:v>
      </x:c>
      <x:c r="AE9" s="10" t="s">
        <x:v>1</x:v>
      </x:c>
      <x:c r="AF9" s="10" t="s">
        <x:v>1</x:v>
      </x:c>
    </x:row>
    <x:row r="10" s="10" customFormat="1">
      <x:c r="A10" s="20" t="s">
        <x:v>34</x:v>
      </x:c>
      <x:c r="B10" s="21">
        <x:v>8000</x:v>
      </x:c>
      <x:c r="C10" s="21">
        <x:v>10000</x:v>
      </x:c>
      <x:c r="D10" s="22">
        <x:v>26000</x:v>
      </x:c>
      <x:c r="E10" s="23" t="n">
        <x:f>=B10/D10*1000</x:f>
        <x:v>307.69230769230774</x:v>
      </x:c>
      <x:c r="F10" s="24">
        <x:v>97000</x:v>
      </x:c>
      <x:c r="G10" s="25">
        <x:v>8000</x:v>
      </x:c>
      <x:c r="H10" s="25">
        <x:v>10000</x:v>
      </x:c>
      <x:c r="I10" s="26" t="n">
        <x:f>=(H10-C10)/C10</x:f>
        <x:v>0</x:v>
      </x:c>
      <x:c r="J10" s="27" t="n">
        <x:f>=(H10*80%)*1000/30</x:f>
        <x:v>266666.6666666667</x:v>
      </x:c>
      <x:c r="K10" s="24" t="n">
        <x:f>=H10/200*1000*1.5</x:f>
        <x:v>75000</x:v>
      </x:c>
      <x:c r="L10" s="28" t="n">
        <x:f>=K10*17/1000</x:f>
        <x:v>1275</x:v>
      </x:c>
      <x:c r="M10" s="28" t="n">
        <x:f>=K10*20/1000</x:f>
        <x:v>1500</x:v>
      </x:c>
      <x:c r="N10" s="28" t="n">
        <x:f>=J10-K10</x:f>
        <x:v>191666.6666666667</x:v>
      </x:c>
      <x:c r="O10" s="28" t="n">
        <x:f>=(N10/1000)*5.5</x:f>
        <x:v>1054.1666666666667</x:v>
      </x:c>
      <x:c r="P10" s="28" t="n">
        <x:f>=15*18+200*0.8+300*0.2+200*0.1</x:f>
        <x:v>510</x:v>
      </x:c>
      <x:c r="Q10" s="28" t="n">
        <x:f>=M10+O10+P10</x:f>
        <x:v>3064.166666666667</x:v>
      </x:c>
      <x:c r="R10" s="28" t="n">
        <x:f>=(H10*70%)-Q10</x:f>
        <x:v>3935.833333333333</x:v>
      </x:c>
      <x:c r="S10" s="29" t="n">
        <x:f>=R10/H10</x:f>
        <x:v>0.3935833333333333</x:v>
      </x:c>
      <x:c r="T10" s="33" t="n">
        <x:f>=R10*0.65</x:f>
        <x:v>2558.2916666666665</x:v>
      </x:c>
      <x:c r="U10" s="29" t="n">
        <x:f>=T10/H10</x:f>
        <x:v>0.25582916666666666</x:v>
      </x:c>
      <x:c r="V10" s="10">
        <x:v>224.8</x:v>
      </x:c>
      <x:c r="W10" s="10">
        <x:v>13.7</x:v>
      </x:c>
      <x:c r="X10" s="10">
        <x:v>228.5</x:v>
      </x:c>
      <x:c r="Y10" s="10">
        <x:v>13.6</x:v>
      </x:c>
      <x:c r="Z10" s="10" t="s">
        <x:v>1</x:v>
      </x:c>
      <x:c r="AA10" s="10" t="s">
        <x:v>1</x:v>
      </x:c>
      <x:c r="AB10" s="10" t="s">
        <x:v>1</x:v>
      </x:c>
      <x:c r="AC10" s="10" t="s">
        <x:v>1</x:v>
      </x:c>
      <x:c r="AD10" s="10" t="s">
        <x:v>1</x:v>
      </x:c>
      <x:c r="AE10" s="10" t="s">
        <x:v>1</x:v>
      </x:c>
      <x:c r="AF10" s="10" t="s">
        <x:v>1</x:v>
      </x:c>
    </x:row>
    <x:row r="13">
      <x:c r="G13" t="s">
        <x:v>35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cols>
    <x:col min="1" max="1" width="6.34375" style="48" customWidth="1"/>
    <x:col min="2" max="2" width="13.671899795532227" style="48" customWidth="0"/>
    <x:col min="3" max="3" width="19.792999267578125" style="48" customWidth="1"/>
    <x:col min="4" max="4" width="33.59379959106445" style="48" customWidth="1"/>
    <x:col min="5" max="5" width="15.242199897766113" style="48" customWidth="1"/>
    <x:col min="6" max="6" width="15.242199897766113" style="48" customWidth="1"/>
    <x:col min="7" max="8" width="13.671899795532227" style="48" customWidth="0"/>
    <x:col min="9" max="9" width="19.023399353027344" style="48" customWidth="1"/>
    <x:col min="10" max="10" width="13.671899795532227" style="48" customWidth="0"/>
    <x:col min="11" max="11" width="12.093799591064453" style="48" customWidth="1"/>
    <x:col min="12" max="12" width="8.13280963897705" style="48" customWidth="1"/>
    <x:col min="13" max="13" width="13.671899795532227" style="48" customWidth="0"/>
    <x:col min="14" max="14" width="13.671899795532227" style="48" customWidth="1"/>
    <x:col min="15" max="16" width="13.671899795532227" style="48" customWidth="1"/>
    <x:col min="17" max="17" width="26.921899795532227" style="48" customWidth="1"/>
    <x:col min="18" max="18" width="21.1835994720459" style="48" customWidth="1"/>
    <x:col min="19" max="19" width="21.042999267578125" style="48" customWidth="1"/>
    <x:col min="20" max="20" width="15.242199897766113" style="48" customWidth="1"/>
    <x:col min="21" max="21" width="23.343799591064453" style="48" customWidth="1"/>
    <x:col min="22" max="22" width="26.703100204467773" style="48" customWidth="1"/>
    <x:col min="23" max="31" width="13.671899795532227" style="48" customWidth="0"/>
  </x:cols>
  <x:sheetData>
    <x:row r="1" s="84" customFormat="1" ht="28.5" customHeight="1">
      <x:c r="A1" s="38" t="s">
        <x:v>36</x:v>
      </x:c>
      <x:c r="B1" s="39" t="s">
        <x:v>3</x:v>
      </x:c>
      <x:c r="C1" s="39" t="s">
        <x:v>37</x:v>
      </x:c>
      <x:c r="D1" s="39" t="s">
        <x:v>38</x:v>
      </x:c>
      <x:c r="E1" s="40" t="s">
        <x:v>39</x:v>
      </x:c>
      <x:c r="F1" s="39" t="s">
        <x:v>40</x:v>
      </x:c>
      <x:c r="G1" s="41" t="s">
        <x:v>1</x:v>
      </x:c>
      <x:c r="H1" s="41" t="s">
        <x:v>1</x:v>
      </x:c>
      <x:c r="I1" s="42" t="s">
        <x:v>41</x:v>
      </x:c>
      <x:c r="J1" s="39" t="s">
        <x:v>42</x:v>
      </x:c>
      <x:c r="K1" s="43" t="s">
        <x:v>43</x:v>
      </x:c>
      <x:c r="L1" s="43" t="s">
        <x:v>44</x:v>
      </x:c>
      <x:c r="M1" s="43" t="s">
        <x:v>1</x:v>
      </x:c>
      <x:c r="N1" s="44" t="s">
        <x:v>45</x:v>
      </x:c>
      <x:c r="O1" s="44" t="s">
        <x:v>46</x:v>
      </x:c>
      <x:c r="P1" s="44" t="s">
        <x:v>47</x:v>
      </x:c>
      <x:c r="Q1" s="44" t="s">
        <x:v>48</x:v>
      </x:c>
      <x:c r="R1" s="45" t="s">
        <x:v>49</x:v>
      </x:c>
      <x:c r="S1" s="45" t="s">
        <x:v>50</x:v>
      </x:c>
      <x:c r="T1" s="45" t="s">
        <x:v>51</x:v>
      </x:c>
      <x:c r="U1" s="45" t="s">
        <x:v>52</x:v>
      </x:c>
      <x:c r="V1" s="45" t="s">
        <x:v>53</x:v>
      </x:c>
      <x:c r="W1" s="43" t="s">
        <x:v>1</x:v>
      </x:c>
      <x:c r="X1" s="43" t="s">
        <x:v>1</x:v>
      </x:c>
      <x:c r="Y1" s="43" t="s">
        <x:v>1</x:v>
      </x:c>
      <x:c r="Z1" s="43" t="s">
        <x:v>1</x:v>
      </x:c>
      <x:c r="AA1" s="43" t="s">
        <x:v>1</x:v>
      </x:c>
      <x:c r="AB1" s="43" t="s">
        <x:v>1</x:v>
      </x:c>
      <x:c r="AC1" s="43" t="s">
        <x:v>1</x:v>
      </x:c>
      <x:c r="AD1" s="43" t="s">
        <x:v>1</x:v>
      </x:c>
      <x:c r="AE1" s="43" t="s">
        <x:v>1</x:v>
      </x:c>
    </x:row>
    <x:row r="2" s="84" customFormat="1" ht="27" hidden="1" customHeight="1">
      <x:c r="A2" s="41" t="s">
        <x:v>1</x:v>
      </x:c>
      <x:c r="B2" s="41" t="s">
        <x:v>1</x:v>
      </x:c>
      <x:c r="C2" s="41" t="s">
        <x:v>1</x:v>
      </x:c>
      <x:c r="D2" s="41" t="s">
        <x:v>1</x:v>
      </x:c>
      <x:c r="E2" s="41" t="s">
        <x:v>1</x:v>
      </x:c>
      <x:c r="F2" s="39" t="s">
        <x:v>54</x:v>
      </x:c>
      <x:c r="G2" s="39" t="s">
        <x:v>55</x:v>
      </x:c>
      <x:c r="H2" s="46" t="s">
        <x:v>56</x:v>
      </x:c>
      <x:c r="I2" s="47" t="s">
        <x:v>1</x:v>
      </x:c>
      <x:c r="J2" s="41" t="s">
        <x:v>1</x:v>
      </x:c>
      <x:c r="K2" s="43" t="s">
        <x:v>1</x:v>
      </x:c>
      <x:c r="L2" s="43" t="s">
        <x:v>1</x:v>
      </x:c>
      <x:c r="M2" s="43" t="s">
        <x:v>1</x:v>
      </x:c>
      <x:c r="N2" s="41" t="s">
        <x:v>1</x:v>
      </x:c>
      <x:c r="O2" s="41" t="s">
        <x:v>1</x:v>
      </x:c>
      <x:c r="P2" s="41" t="s">
        <x:v>1</x:v>
      </x:c>
      <x:c r="Q2" s="41" t="s">
        <x:v>1</x:v>
      </x:c>
      <x:c r="R2" s="41" t="s">
        <x:v>1</x:v>
      </x:c>
      <x:c r="S2" s="41" t="s">
        <x:v>1</x:v>
      </x:c>
      <x:c r="T2" s="41" t="s">
        <x:v>1</x:v>
      </x:c>
      <x:c r="U2" s="41" t="s">
        <x:v>1</x:v>
      </x:c>
      <x:c r="V2" s="41" t="s">
        <x:v>1</x:v>
      </x:c>
      <x:c r="W2" s="43" t="s">
        <x:v>1</x:v>
      </x:c>
      <x:c r="X2" s="43" t="s">
        <x:v>1</x:v>
      </x:c>
      <x:c r="Y2" s="43" t="s">
        <x:v>1</x:v>
      </x:c>
      <x:c r="Z2" s="43" t="s">
        <x:v>1</x:v>
      </x:c>
      <x:c r="AA2" s="43" t="s">
        <x:v>1</x:v>
      </x:c>
      <x:c r="AB2" s="43" t="s">
        <x:v>1</x:v>
      </x:c>
      <x:c r="AC2" s="43" t="s">
        <x:v>1</x:v>
      </x:c>
      <x:c r="AD2" s="43" t="s">
        <x:v>1</x:v>
      </x:c>
      <x:c r="AE2" s="43" t="s">
        <x:v>1</x:v>
      </x:c>
    </x:row>
    <x:row r="3" ht="21" hidden="1" customHeight="1">
      <x:c r="A3" s="48" t="s">
        <x:v>1</x:v>
      </x:c>
      <x:c r="B3" s="48" t="s">
        <x:v>29</x:v>
      </x:c>
      <x:c r="C3" s="48" t="s">
        <x:v>57</x:v>
      </x:c>
      <x:c r="D3" s="49" t="s">
        <x:v>58</x:v>
      </x:c>
      <x:c r="E3" s="50" t="s">
        <x:v>59</x:v>
      </x:c>
      <x:c r="F3" s="51">
        <x:v>2164</x:v>
      </x:c>
      <x:c r="G3" s="48">
        <x:v>0</x:v>
      </x:c>
      <x:c r="H3" s="48" t="n">
        <x:f>=F3+G3</x:f>
        <x:v>2164</x:v>
      </x:c>
      <x:c r="I3" s="48">
        <x:v>16000</x:v>
      </x:c>
      <x:c r="J3" s="48" t="s">
        <x:v>60</x:v>
      </x:c>
      <x:c r="K3" s="48" t="s">
        <x:v>1</x:v>
      </x:c>
      <x:c r="L3" s="48" t="s">
        <x:v>1</x:v>
      </x:c>
      <x:c r="M3" s="48" t="s">
        <x:v>1</x:v>
      </x:c>
      <x:c r="N3" s="52" t="s">
        <x:v>29</x:v>
      </x:c>
      <x:c r="O3" s="52">
        <x:v>6</x:v>
      </x:c>
      <x:c r="P3" s="53">
        <x:v>3700</x:v>
      </x:c>
      <x:c r="Q3" s="52" t="s">
        <x:v>61</x:v>
      </x:c>
      <x:c r="R3" s="52">
        <x:v>57000</x:v>
      </x:c>
      <x:c r="S3" s="54">
        <x:v>110000</x:v>
      </x:c>
      <x:c r="T3" s="52">
        <x:v>27000</x:v>
      </x:c>
      <x:c r="U3" s="54">
        <x:v>130000</x:v>
      </x:c>
      <x:c r="V3" s="55" t="n">
        <x:f>=R14/U3*1000</x:f>
        <x:v>138.46153846153848</x:v>
      </x:c>
    </x:row>
    <x:row r="4" ht="21" hidden="1" customHeight="1">
      <x:c r="A4" s="48" t="s">
        <x:v>1</x:v>
      </x:c>
      <x:c r="B4" s="48" t="s">
        <x:v>29</x:v>
      </x:c>
      <x:c r="C4" s="51" t="s">
        <x:v>62</x:v>
      </x:c>
      <x:c r="D4" s="56" t="s">
        <x:v>63</x:v>
      </x:c>
      <x:c r="E4" s="50" t="s">
        <x:v>59</x:v>
      </x:c>
      <x:c r="F4" s="48">
        <x:v>1574</x:v>
      </x:c>
      <x:c r="G4" s="48">
        <x:v>0</x:v>
      </x:c>
      <x:c r="H4" s="48" t="n">
        <x:f>=F4+G4</x:f>
        <x:v>1574</x:v>
      </x:c>
      <x:c r="I4" s="48">
        <x:v>10000</x:v>
      </x:c>
      <x:c r="J4" s="48" t="s">
        <x:v>60</x:v>
      </x:c>
      <x:c r="K4" s="48" t="s">
        <x:v>1</x:v>
      </x:c>
      <x:c r="L4" s="48" t="s">
        <x:v>1</x:v>
      </x:c>
      <x:c r="M4" s="48" t="s">
        <x:v>1</x:v>
      </x:c>
      <x:c r="N4" s="52" t="s">
        <x:v>33</x:v>
      </x:c>
      <x:c r="O4" s="52">
        <x:v>3</x:v>
      </x:c>
      <x:c r="P4" s="53">
        <x:v>3100</x:v>
      </x:c>
      <x:c r="Q4" s="52" t="s">
        <x:v>64</x:v>
      </x:c>
      <x:c r="R4" s="52">
        <x:v>35000</x:v>
      </x:c>
      <x:c r="S4" s="54">
        <x:v>110000</x:v>
      </x:c>
      <x:c r="T4" s="52">
        <x:v>32000</x:v>
      </x:c>
      <x:c r="U4" s="54">
        <x:v>140000</x:v>
      </x:c>
      <x:c r="V4" s="57" t="n">
        <x:f>=R15/U4*1000</x:f>
        <x:v>128.57142857142856</x:v>
      </x:c>
      <x:c r="W4" s="48" t="s">
        <x:v>1</x:v>
      </x:c>
      <x:c r="X4" s="48" t="s">
        <x:v>1</x:v>
      </x:c>
      <x:c r="Y4" s="48" t="s">
        <x:v>1</x:v>
      </x:c>
      <x:c r="Z4" s="48" t="s">
        <x:v>1</x:v>
      </x:c>
      <x:c r="AA4" s="48" t="s">
        <x:v>1</x:v>
      </x:c>
      <x:c r="AB4" s="48" t="s">
        <x:v>1</x:v>
      </x:c>
      <x:c r="AC4" s="48" t="s">
        <x:v>1</x:v>
      </x:c>
      <x:c r="AD4" s="48" t="s">
        <x:v>1</x:v>
      </x:c>
      <x:c r="AE4" s="48" t="s">
        <x:v>1</x:v>
      </x:c>
    </x:row>
    <x:row r="5" ht="21" hidden="1" customHeight="1">
      <x:c r="A5" s="48" t="s">
        <x:v>1</x:v>
      </x:c>
      <x:c r="B5" s="48" t="s">
        <x:v>29</x:v>
      </x:c>
      <x:c r="C5" s="48" t="s">
        <x:v>65</x:v>
      </x:c>
      <x:c r="D5" s="58" t="s">
        <x:v>66</x:v>
      </x:c>
      <x:c r="E5" s="50" t="s">
        <x:v>59</x:v>
      </x:c>
      <x:c r="F5" s="48">
        <x:v>1576</x:v>
      </x:c>
      <x:c r="G5" s="48">
        <x:v>500</x:v>
      </x:c>
      <x:c r="H5" s="48" t="n">
        <x:f>=F5+G5</x:f>
        <x:v>2076</x:v>
      </x:c>
      <x:c r="I5" s="48">
        <x:v>29100</x:v>
      </x:c>
      <x:c r="J5" s="48" t="s">
        <x:v>60</x:v>
      </x:c>
      <x:c r="K5" s="48" t="s">
        <x:v>1</x:v>
      </x:c>
      <x:c r="L5" s="48" t="s">
        <x:v>1</x:v>
      </x:c>
      <x:c r="M5" s="48" t="s">
        <x:v>1</x:v>
      </x:c>
      <x:c r="N5" s="52" t="s">
        <x:v>31</x:v>
      </x:c>
      <x:c r="O5" s="52">
        <x:v>2</x:v>
      </x:c>
      <x:c r="P5" s="53">
        <x:v>2000</x:v>
      </x:c>
      <x:c r="Q5" s="52" t="s">
        <x:v>67</x:v>
      </x:c>
      <x:c r="R5" s="52">
        <x:v>46000</x:v>
      </x:c>
      <x:c r="S5" s="54">
        <x:v>100000</x:v>
      </x:c>
      <x:c r="T5" s="52">
        <x:v>43000</x:v>
      </x:c>
      <x:c r="U5" s="54">
        <x:v>130000</x:v>
      </x:c>
      <x:c r="V5" s="57" t="n">
        <x:f>=R16/U5*1000</x:f>
        <x:v>115.38461538461539</x:v>
      </x:c>
      <x:c r="W5" s="48" t="s">
        <x:v>1</x:v>
      </x:c>
      <x:c r="X5" s="48" t="s">
        <x:v>1</x:v>
      </x:c>
      <x:c r="Y5" s="48" t="s">
        <x:v>1</x:v>
      </x:c>
      <x:c r="Z5" s="48" t="s">
        <x:v>1</x:v>
      </x:c>
      <x:c r="AA5" s="48" t="s">
        <x:v>1</x:v>
      </x:c>
      <x:c r="AB5" s="48" t="s">
        <x:v>1</x:v>
      </x:c>
      <x:c r="AC5" s="48" t="s">
        <x:v>1</x:v>
      </x:c>
      <x:c r="AD5" s="48" t="s">
        <x:v>1</x:v>
      </x:c>
      <x:c r="AE5" s="48" t="s">
        <x:v>1</x:v>
      </x:c>
    </x:row>
    <x:row r="6" ht="21" hidden="1" customHeight="1">
      <x:c r="A6" s="48" t="s">
        <x:v>1</x:v>
      </x:c>
      <x:c r="B6" s="48" t="s">
        <x:v>29</x:v>
      </x:c>
      <x:c r="C6" s="48" t="s">
        <x:v>68</x:v>
      </x:c>
      <x:c r="D6" s="49" t="s">
        <x:v>69</x:v>
      </x:c>
      <x:c r="E6" s="50" t="s">
        <x:v>70</x:v>
      </x:c>
      <x:c r="F6" s="48">
        <x:v>1650</x:v>
      </x:c>
      <x:c r="G6" s="48">
        <x:v>500</x:v>
      </x:c>
      <x:c r="H6" s="48" t="n">
        <x:f>=F6+G6</x:f>
        <x:v>2150</x:v>
      </x:c>
      <x:c r="I6" s="48">
        <x:v>25700</x:v>
      </x:c>
      <x:c r="J6" s="48" t="s">
        <x:v>60</x:v>
      </x:c>
      <x:c r="K6" s="48" t="s">
        <x:v>1</x:v>
      </x:c>
      <x:c r="L6" s="48" t="s">
        <x:v>1</x:v>
      </x:c>
      <x:c r="M6" s="48" t="s">
        <x:v>1</x:v>
      </x:c>
      <x:c r="N6" s="52" t="s">
        <x:v>28</x:v>
      </x:c>
      <x:c r="O6" s="52">
        <x:v>3</x:v>
      </x:c>
      <x:c r="P6" s="53">
        <x:v>3000</x:v>
      </x:c>
      <x:c r="Q6" s="52" t="s">
        <x:v>71</x:v>
      </x:c>
      <x:c r="R6" s="52">
        <x:v>65000</x:v>
      </x:c>
      <x:c r="S6" s="54">
        <x:v>130000</x:v>
      </x:c>
      <x:c r="T6" s="52">
        <x:v>41000</x:v>
      </x:c>
      <x:c r="U6" s="54">
        <x:v>180000</x:v>
      </x:c>
      <x:c r="V6" s="57" t="n">
        <x:f>=R17/U6*1000</x:f>
        <x:v>111.1111111111111</x:v>
      </x:c>
      <x:c r="W6" s="48" t="s">
        <x:v>1</x:v>
      </x:c>
      <x:c r="X6" s="48" t="s">
        <x:v>1</x:v>
      </x:c>
      <x:c r="Y6" s="48" t="s">
        <x:v>1</x:v>
      </x:c>
      <x:c r="Z6" s="48" t="s">
        <x:v>1</x:v>
      </x:c>
      <x:c r="AA6" s="48" t="s">
        <x:v>1</x:v>
      </x:c>
      <x:c r="AB6" s="48" t="s">
        <x:v>1</x:v>
      </x:c>
      <x:c r="AC6" s="48" t="s">
        <x:v>1</x:v>
      </x:c>
      <x:c r="AD6" s="48" t="s">
        <x:v>1</x:v>
      </x:c>
      <x:c r="AE6" s="48" t="s">
        <x:v>1</x:v>
      </x:c>
    </x:row>
    <x:row r="7" ht="21" customHeight="1">
      <x:c r="A7" s="48" t="s">
        <x:v>1</x:v>
      </x:c>
      <x:c r="B7" s="48" t="s">
        <x:v>29</x:v>
      </x:c>
      <x:c r="C7" s="51" t="s">
        <x:v>72</x:v>
      </x:c>
      <x:c r="D7" s="48" t="s">
        <x:v>73</x:v>
      </x:c>
      <x:c r="E7" s="50" t="s">
        <x:v>70</x:v>
      </x:c>
      <x:c r="F7" s="48">
        <x:v>2085</x:v>
      </x:c>
      <x:c r="G7" s="48">
        <x:v>0</x:v>
      </x:c>
      <x:c r="H7" s="48" t="n">
        <x:f>=F7+G7</x:f>
        <x:v>2085</x:v>
      </x:c>
      <x:c r="I7" s="48">
        <x:v>20000</x:v>
      </x:c>
      <x:c r="J7" s="48">
        <x:v>500</x:v>
      </x:c>
      <x:c r="K7" s="48">
        <x:v>1</x:v>
      </x:c>
      <x:c r="L7" s="48">
        <x:v>1</x:v>
      </x:c>
      <x:c r="M7" s="48" t="n">
        <x:f>=SUM(J7:J12)</x:f>
        <x:v>3700</x:v>
      </x:c>
      <x:c r="N7" s="52" t="s">
        <x:v>32</x:v>
      </x:c>
      <x:c r="O7" s="52">
        <x:v>4</x:v>
      </x:c>
      <x:c r="P7" s="53">
        <x:v>5000</x:v>
      </x:c>
      <x:c r="Q7" s="52" t="s">
        <x:v>74</x:v>
      </x:c>
      <x:c r="R7" s="52">
        <x:v>29000</x:v>
      </x:c>
      <x:c r="S7" s="54">
        <x:v>125000</x:v>
      </x:c>
      <x:c r="T7" s="52">
        <x:v>16000</x:v>
      </x:c>
      <x:c r="U7" s="54">
        <x:v>150000</x:v>
      </x:c>
      <x:c r="V7" s="57" t="n">
        <x:f>=R18/U7*1000</x:f>
        <x:v>133.33333333333334</x:v>
      </x:c>
      <x:c r="W7" s="48" t="s">
        <x:v>1</x:v>
      </x:c>
      <x:c r="X7" s="48" t="s">
        <x:v>1</x:v>
      </x:c>
      <x:c r="Y7" s="48" t="s">
        <x:v>1</x:v>
      </x:c>
      <x:c r="Z7" s="48" t="s">
        <x:v>1</x:v>
      </x:c>
      <x:c r="AA7" s="48" t="s">
        <x:v>1</x:v>
      </x:c>
      <x:c r="AB7" s="48" t="s">
        <x:v>1</x:v>
      </x:c>
      <x:c r="AC7" s="48" t="s">
        <x:v>1</x:v>
      </x:c>
      <x:c r="AD7" s="48" t="s">
        <x:v>1</x:v>
      </x:c>
      <x:c r="AE7" s="48" t="s">
        <x:v>1</x:v>
      </x:c>
    </x:row>
    <x:row r="8" ht="21" customHeight="1">
      <x:c r="A8" s="48" t="s">
        <x:v>1</x:v>
      </x:c>
      <x:c r="B8" s="48" t="s">
        <x:v>29</x:v>
      </x:c>
      <x:c r="C8" s="51" t="s">
        <x:v>75</x:v>
      </x:c>
      <x:c r="D8" s="48" t="s">
        <x:v>76</x:v>
      </x:c>
      <x:c r="E8" s="50" t="s">
        <x:v>70</x:v>
      </x:c>
      <x:c r="F8" s="48">
        <x:v>1140</x:v>
      </x:c>
      <x:c r="G8" s="48">
        <x:v>1000</x:v>
      </x:c>
      <x:c r="H8" s="48" t="n">
        <x:f>=F8+G8</x:f>
        <x:v>2140</x:v>
      </x:c>
      <x:c r="I8" s="48">
        <x:v>55000</x:v>
      </x:c>
      <x:c r="J8" s="48">
        <x:v>800</x:v>
      </x:c>
      <x:c r="K8" s="48">
        <x:v>1</x:v>
      </x:c>
      <x:c r="L8" s="48">
        <x:v>1</x:v>
      </x:c>
      <x:c r="M8" s="48" t="s">
        <x:v>1</x:v>
      </x:c>
      <x:c r="N8" s="52" t="s">
        <x:v>30</x:v>
      </x:c>
      <x:c r="O8" s="52">
        <x:v>1</x:v>
      </x:c>
      <x:c r="P8" s="53">
        <x:v>1000</x:v>
      </x:c>
      <x:c r="Q8" s="52" t="s">
        <x:v>77</x:v>
      </x:c>
      <x:c r="R8" s="52">
        <x:v>458000</x:v>
      </x:c>
      <x:c r="S8" s="54" t="s">
        <x:v>60</x:v>
      </x:c>
      <x:c r="T8" s="52">
        <x:v>257000</x:v>
      </x:c>
      <x:c r="U8" s="54" t="s">
        <x:v>60</x:v>
      </x:c>
      <x:c r="V8" s="57" t="s">
        <x:v>60</x:v>
      </x:c>
      <x:c r="W8" s="48" t="s">
        <x:v>1</x:v>
      </x:c>
      <x:c r="X8" s="48" t="s">
        <x:v>1</x:v>
      </x:c>
      <x:c r="Y8" s="48" t="s">
        <x:v>1</x:v>
      </x:c>
      <x:c r="Z8" s="48" t="s">
        <x:v>1</x:v>
      </x:c>
      <x:c r="AA8" s="48" t="s">
        <x:v>1</x:v>
      </x:c>
      <x:c r="AB8" s="48" t="s">
        <x:v>1</x:v>
      </x:c>
      <x:c r="AC8" s="48" t="s">
        <x:v>1</x:v>
      </x:c>
      <x:c r="AD8" s="48" t="s">
        <x:v>1</x:v>
      </x:c>
      <x:c r="AE8" s="48" t="s">
        <x:v>1</x:v>
      </x:c>
    </x:row>
    <x:row r="9" ht="21" customHeight="1">
      <x:c r="A9" s="48" t="s">
        <x:v>1</x:v>
      </x:c>
      <x:c r="B9" s="48" t="s">
        <x:v>29</x:v>
      </x:c>
      <x:c r="C9" s="51" t="s">
        <x:v>78</x:v>
      </x:c>
      <x:c r="D9" s="48" t="s">
        <x:v>79</x:v>
      </x:c>
      <x:c r="E9" s="50" t="s">
        <x:v>70</x:v>
      </x:c>
      <x:c r="F9" s="48">
        <x:v>1595</x:v>
      </x:c>
      <x:c r="G9" s="48">
        <x:v>1000</x:v>
      </x:c>
      <x:c r="H9" s="48" t="n">
        <x:f>=F9+G9</x:f>
        <x:v>2595</x:v>
      </x:c>
      <x:c r="I9" s="48">
        <x:v>59000</x:v>
      </x:c>
      <x:c r="J9" s="48">
        <x:v>800</x:v>
      </x:c>
      <x:c r="K9" s="48">
        <x:v>1</x:v>
      </x:c>
      <x:c r="L9" s="48">
        <x:v>1</x:v>
      </x:c>
      <x:c r="M9" s="48" t="s">
        <x:v>1</x:v>
      </x:c>
      <x:c r="N9" s="52" t="s">
        <x:v>34</x:v>
      </x:c>
      <x:c r="O9" s="52">
        <x:v>2</x:v>
      </x:c>
      <x:c r="P9" s="53">
        <x:v>1500</x:v>
      </x:c>
      <x:c r="Q9" s="52" t="s">
        <x:v>80</x:v>
      </x:c>
      <x:c r="R9" s="52">
        <x:v>38000</x:v>
      </x:c>
      <x:c r="S9" s="54">
        <x:v>90000</x:v>
      </x:c>
      <x:c r="T9" s="52">
        <x:v>26000</x:v>
      </x:c>
      <x:c r="U9" s="54">
        <x:v>100000</x:v>
      </x:c>
      <x:c r="V9" s="57" t="n">
        <x:f>=R20/U9*1000</x:f>
        <x:v>150</x:v>
      </x:c>
      <x:c r="W9" s="48" t="s">
        <x:v>1</x:v>
      </x:c>
      <x:c r="X9" s="48" t="s">
        <x:v>1</x:v>
      </x:c>
      <x:c r="Y9" s="48" t="s">
        <x:v>1</x:v>
      </x:c>
      <x:c r="Z9" s="48" t="s">
        <x:v>1</x:v>
      </x:c>
      <x:c r="AA9" s="48" t="s">
        <x:v>1</x:v>
      </x:c>
      <x:c r="AB9" s="48" t="s">
        <x:v>1</x:v>
      </x:c>
      <x:c r="AC9" s="48" t="s">
        <x:v>1</x:v>
      </x:c>
      <x:c r="AD9" s="48" t="s">
        <x:v>1</x:v>
      </x:c>
      <x:c r="AE9" s="48" t="s">
        <x:v>1</x:v>
      </x:c>
    </x:row>
    <x:row r="10" ht="21" customHeight="1">
      <x:c r="A10" s="48" t="s">
        <x:v>1</x:v>
      </x:c>
      <x:c r="B10" s="48" t="s">
        <x:v>29</x:v>
      </x:c>
      <x:c r="C10" s="51" t="s">
        <x:v>81</x:v>
      </x:c>
      <x:c r="D10" s="48" t="s">
        <x:v>82</x:v>
      </x:c>
      <x:c r="E10" s="50" t="s">
        <x:v>70</x:v>
      </x:c>
      <x:c r="F10" s="48">
        <x:v>1090</x:v>
      </x:c>
      <x:c r="G10" s="48">
        <x:v>1000</x:v>
      </x:c>
      <x:c r="H10" s="48" t="n">
        <x:f>=F10+G10</x:f>
        <x:v>2090</x:v>
      </x:c>
      <x:c r="I10" s="48">
        <x:v>56000</x:v>
      </x:c>
      <x:c r="J10" s="48">
        <x:v>800</x:v>
      </x:c>
      <x:c r="K10" s="48">
        <x:v>1</x:v>
      </x:c>
      <x:c r="L10" s="48">
        <x:v>1</x:v>
      </x:c>
      <x:c r="M10" s="48" t="s">
        <x:v>1</x:v>
      </x:c>
      <x:c r="N10" s="52" t="s">
        <x:v>56</x:v>
      </x:c>
      <x:c r="O10" s="41" t="s">
        <x:v>1</x:v>
      </x:c>
      <x:c r="P10" s="53" t="n">
        <x:f>=SUM(P3:P9)</x:f>
        <x:v>19300</x:v>
      </x:c>
      <x:c r="Q10" s="54" t="s">
        <x:v>1</x:v>
      </x:c>
      <x:c r="R10" s="54" t="s">
        <x:v>1</x:v>
      </x:c>
      <x:c r="S10" s="54" t="s">
        <x:v>1</x:v>
      </x:c>
      <x:c r="T10" s="54" t="s">
        <x:v>1</x:v>
      </x:c>
      <x:c r="U10" s="54" t="s">
        <x:v>1</x:v>
      </x:c>
      <x:c r="V10" s="55" t="s">
        <x:v>1</x:v>
      </x:c>
      <x:c r="W10" s="48" t="s">
        <x:v>1</x:v>
      </x:c>
      <x:c r="X10" s="48" t="s">
        <x:v>1</x:v>
      </x:c>
      <x:c r="Y10" s="48" t="s">
        <x:v>1</x:v>
      </x:c>
      <x:c r="Z10" s="48" t="s">
        <x:v>1</x:v>
      </x:c>
      <x:c r="AA10" s="48" t="s">
        <x:v>1</x:v>
      </x:c>
      <x:c r="AB10" s="48" t="s">
        <x:v>1</x:v>
      </x:c>
      <x:c r="AC10" s="48" t="s">
        <x:v>1</x:v>
      </x:c>
      <x:c r="AD10" s="48" t="s">
        <x:v>1</x:v>
      </x:c>
      <x:c r="AE10" s="48" t="s">
        <x:v>1</x:v>
      </x:c>
    </x:row>
    <x:row r="11" ht="21" hidden="1" customHeight="1">
      <x:c r="A11" s="48" t="s">
        <x:v>1</x:v>
      </x:c>
      <x:c r="B11" s="48" t="s">
        <x:v>29</x:v>
      </x:c>
      <x:c r="C11" s="51" t="s">
        <x:v>83</x:v>
      </x:c>
      <x:c r="D11" s="48" t="s">
        <x:v>84</x:v>
      </x:c>
      <x:c r="E11" s="50" t="s">
        <x:v>70</x:v>
      </x:c>
      <x:c r="F11" s="48">
        <x:v>1219</x:v>
      </x:c>
      <x:c r="G11" s="48">
        <x:v>1500</x:v>
      </x:c>
      <x:c r="H11" s="48" t="n">
        <x:f>=F11+G11</x:f>
        <x:v>2719</x:v>
      </x:c>
      <x:c r="I11" s="48">
        <x:v>93200</x:v>
      </x:c>
      <x:c r="J11" s="48" t="s">
        <x:v>60</x:v>
      </x:c>
      <x:c r="K11" s="48" t="s">
        <x:v>1</x:v>
      </x:c>
      <x:c r="L11" s="48" t="s">
        <x:v>1</x:v>
      </x:c>
      <x:c r="M11" s="48" t="s">
        <x:v>1</x:v>
      </x:c>
      <x:c r="P11" s="48" t="n">
        <x:f>=9800+23600</x:f>
        <x:v>33400</x:v>
      </x:c>
      <x:c r="V11" s="48" t="s">
        <x:v>1</x:v>
      </x:c>
      <x:c r="W11" s="48" t="s">
        <x:v>1</x:v>
      </x:c>
      <x:c r="X11" s="48" t="s">
        <x:v>1</x:v>
      </x:c>
      <x:c r="Y11" s="48" t="s">
        <x:v>1</x:v>
      </x:c>
      <x:c r="Z11" s="48" t="s">
        <x:v>1</x:v>
      </x:c>
      <x:c r="AA11" s="48" t="s">
        <x:v>1</x:v>
      </x:c>
      <x:c r="AB11" s="48" t="s">
        <x:v>1</x:v>
      </x:c>
      <x:c r="AC11" s="48" t="s">
        <x:v>1</x:v>
      </x:c>
      <x:c r="AD11" s="48" t="s">
        <x:v>1</x:v>
      </x:c>
      <x:c r="AE11" s="48" t="s">
        <x:v>1</x:v>
      </x:c>
    </x:row>
    <x:row r="12" ht="21" customHeight="1">
      <x:c r="A12" s="48" t="s">
        <x:v>1</x:v>
      </x:c>
      <x:c r="B12" s="48" t="s">
        <x:v>29</x:v>
      </x:c>
      <x:c r="C12" s="51" t="s">
        <x:v>85</x:v>
      </x:c>
      <x:c r="D12" s="48" t="s">
        <x:v>86</x:v>
      </x:c>
      <x:c r="E12" s="50" t="s">
        <x:v>70</x:v>
      </x:c>
      <x:c r="F12" s="48">
        <x:v>1411</x:v>
      </x:c>
      <x:c r="G12" s="48">
        <x:v>1000</x:v>
      </x:c>
      <x:c r="H12" s="48" t="n">
        <x:f>=F12+G12</x:f>
        <x:v>2411</x:v>
      </x:c>
      <x:c r="I12" s="48">
        <x:v>54000</x:v>
      </x:c>
      <x:c r="J12" s="48">
        <x:v>800</x:v>
      </x:c>
      <x:c r="K12" s="48">
        <x:v>1</x:v>
      </x:c>
      <x:c r="L12" s="48">
        <x:v>1</x:v>
      </x:c>
      <x:c r="M12" s="48" t="s">
        <x:v>1</x:v>
      </x:c>
      <x:c r="P12" s="48" t="n">
        <x:f>=SUM(P10:P11)</x:f>
        <x:v>52700</x:v>
      </x:c>
      <x:c r="Q12" s="48" t="n">
        <x:f>=P12/0.6</x:f>
        <x:v>87833.33333333334</x:v>
      </x:c>
      <x:c r="V12" s="48" t="s">
        <x:v>1</x:v>
      </x:c>
      <x:c r="W12" s="48" t="s">
        <x:v>1</x:v>
      </x:c>
      <x:c r="X12" s="48" t="s">
        <x:v>1</x:v>
      </x:c>
      <x:c r="Y12" s="48" t="s">
        <x:v>1</x:v>
      </x:c>
      <x:c r="Z12" s="48" t="s">
        <x:v>1</x:v>
      </x:c>
      <x:c r="AA12" s="48" t="s">
        <x:v>1</x:v>
      </x:c>
      <x:c r="AB12" s="48" t="s">
        <x:v>1</x:v>
      </x:c>
      <x:c r="AC12" s="48" t="s">
        <x:v>1</x:v>
      </x:c>
      <x:c r="AD12" s="48" t="s">
        <x:v>1</x:v>
      </x:c>
      <x:c r="AE12" s="48" t="s">
        <x:v>1</x:v>
      </x:c>
    </x:row>
    <x:row r="13" ht="21" hidden="1" customHeight="1">
      <x:c r="A13" s="48" t="s">
        <x:v>1</x:v>
      </x:c>
      <x:c r="B13" s="48" t="s">
        <x:v>29</x:v>
      </x:c>
      <x:c r="C13" s="48" t="s">
        <x:v>81</x:v>
      </x:c>
      <x:c r="D13" s="51" t="s">
        <x:v>87</x:v>
      </x:c>
      <x:c r="E13" s="50" t="s">
        <x:v>70</x:v>
      </x:c>
      <x:c r="F13" s="48" t="s">
        <x:v>60</x:v>
      </x:c>
      <x:c r="G13" s="51" t="s">
        <x:v>60</x:v>
      </x:c>
      <x:c r="H13" s="48" t="s">
        <x:v>60</x:v>
      </x:c>
      <x:c r="I13" s="48">
        <x:v>90000</x:v>
      </x:c>
      <x:c r="J13" s="48">
        <x:v>0</x:v>
      </x:c>
      <x:c r="K13" s="48" t="s">
        <x:v>1</x:v>
      </x:c>
      <x:c r="L13" s="48" t="s">
        <x:v>1</x:v>
      </x:c>
      <x:c r="M13" s="48" t="s">
        <x:v>1</x:v>
      </x:c>
      <x:c r="Q13" s="59" t="s">
        <x:v>3</x:v>
      </x:c>
      <x:c r="R13" s="60" t="s">
        <x:v>88</x:v>
      </x:c>
      <x:c r="S13" s="60" t="s">
        <x:v>89</x:v>
      </x:c>
      <x:c r="V13" s="48" t="s">
        <x:v>1</x:v>
      </x:c>
      <x:c r="W13" s="48" t="s">
        <x:v>1</x:v>
      </x:c>
      <x:c r="X13" s="48" t="s">
        <x:v>1</x:v>
      </x:c>
      <x:c r="Y13" s="48" t="s">
        <x:v>1</x:v>
      </x:c>
      <x:c r="Z13" s="48" t="s">
        <x:v>1</x:v>
      </x:c>
      <x:c r="AA13" s="48" t="s">
        <x:v>1</x:v>
      </x:c>
      <x:c r="AB13" s="48" t="s">
        <x:v>1</x:v>
      </x:c>
      <x:c r="AC13" s="48" t="s">
        <x:v>1</x:v>
      </x:c>
      <x:c r="AD13" s="48" t="s">
        <x:v>1</x:v>
      </x:c>
      <x:c r="AE13" s="48" t="s">
        <x:v>1</x:v>
      </x:c>
    </x:row>
    <x:row r="14" ht="21" customHeight="1">
      <x:c r="A14" s="48" t="s">
        <x:v>1</x:v>
      </x:c>
      <x:c r="B14" s="48" t="s">
        <x:v>34</x:v>
      </x:c>
      <x:c r="C14" s="48" t="s">
        <x:v>72</x:v>
      </x:c>
      <x:c r="D14" s="51" t="s">
        <x:v>90</x:v>
      </x:c>
      <x:c r="E14" s="50" t="s">
        <x:v>70</x:v>
      </x:c>
      <x:c r="F14" s="48">
        <x:v>1765</x:v>
      </x:c>
      <x:c r="G14" s="51">
        <x:v>1000</x:v>
      </x:c>
      <x:c r="H14" s="48" t="n">
        <x:f>=F14+G14</x:f>
        <x:v>2765</x:v>
      </x:c>
      <x:c r="I14" s="48">
        <x:v>64000</x:v>
      </x:c>
      <x:c r="J14" s="48">
        <x:v>500</x:v>
      </x:c>
      <x:c r="K14" s="48">
        <x:v>1</x:v>
      </x:c>
      <x:c r="L14" s="48">
        <x:v>1</x:v>
      </x:c>
      <x:c r="M14" s="48" t="s">
        <x:v>1</x:v>
      </x:c>
      <x:c r="Q14" s="52" t="s">
        <x:v>29</x:v>
      </x:c>
      <x:c r="R14" s="61">
        <x:v>18000</x:v>
      </x:c>
      <x:c r="S14" s="62">
        <x:v>120000</x:v>
      </x:c>
      <x:c r="V14" s="48" t="s">
        <x:v>1</x:v>
      </x:c>
      <x:c r="W14" s="48" t="s">
        <x:v>1</x:v>
      </x:c>
      <x:c r="X14" s="48" t="s">
        <x:v>1</x:v>
      </x:c>
      <x:c r="Y14" s="48" t="s">
        <x:v>1</x:v>
      </x:c>
      <x:c r="Z14" s="48" t="s">
        <x:v>1</x:v>
      </x:c>
      <x:c r="AA14" s="48" t="s">
        <x:v>1</x:v>
      </x:c>
      <x:c r="AB14" s="48" t="s">
        <x:v>1</x:v>
      </x:c>
      <x:c r="AC14" s="48" t="s">
        <x:v>1</x:v>
      </x:c>
      <x:c r="AD14" s="48" t="s">
        <x:v>1</x:v>
      </x:c>
      <x:c r="AE14" s="48" t="s">
        <x:v>1</x:v>
      </x:c>
    </x:row>
    <x:row r="15" ht="21" customHeight="1">
      <x:c r="A15" s="48" t="s">
        <x:v>1</x:v>
      </x:c>
      <x:c r="B15" s="51" t="s">
        <x:v>34</x:v>
      </x:c>
      <x:c r="C15" s="63" t="s">
        <x:v>91</x:v>
      </x:c>
      <x:c r="D15" s="51" t="s">
        <x:v>92</x:v>
      </x:c>
      <x:c r="E15" s="50" t="s">
        <x:v>70</x:v>
      </x:c>
      <x:c r="F15" s="48">
        <x:v>2035</x:v>
      </x:c>
      <x:c r="G15" s="51">
        <x:v>500</x:v>
      </x:c>
      <x:c r="H15" s="48" t="n">
        <x:f>=F15+G15</x:f>
        <x:v>2535</x:v>
      </x:c>
      <x:c r="I15" s="48">
        <x:v>30000</x:v>
      </x:c>
      <x:c r="J15" s="48">
        <x:v>1000</x:v>
      </x:c>
      <x:c r="K15" s="48">
        <x:v>1</x:v>
      </x:c>
      <x:c r="L15" s="48">
        <x:v>1</x:v>
      </x:c>
      <x:c r="N15" s="48" t="s">
        <x:v>1</x:v>
      </x:c>
      <x:c r="O15" s="48" t="s">
        <x:v>1</x:v>
      </x:c>
      <x:c r="P15" s="48" t="s">
        <x:v>1</x:v>
      </x:c>
      <x:c r="Q15" s="52" t="s">
        <x:v>33</x:v>
      </x:c>
      <x:c r="R15" s="61">
        <x:v>18000</x:v>
      </x:c>
      <x:c r="S15" s="62">
        <x:v>120000</x:v>
      </x:c>
      <x:c r="U15" s="48" t="s">
        <x:v>1</x:v>
      </x:c>
      <x:c r="V15" s="48" t="s">
        <x:v>1</x:v>
      </x:c>
      <x:c r="W15" s="48" t="s">
        <x:v>1</x:v>
      </x:c>
      <x:c r="X15" s="48" t="s">
        <x:v>1</x:v>
      </x:c>
      <x:c r="Y15" s="48" t="s">
        <x:v>1</x:v>
      </x:c>
      <x:c r="Z15" s="48" t="s">
        <x:v>1</x:v>
      </x:c>
      <x:c r="AA15" s="48" t="s">
        <x:v>1</x:v>
      </x:c>
      <x:c r="AB15" s="48" t="s">
        <x:v>1</x:v>
      </x:c>
      <x:c r="AC15" s="48" t="s">
        <x:v>1</x:v>
      </x:c>
      <x:c r="AD15" s="48" t="s">
        <x:v>1</x:v>
      </x:c>
      <x:c r="AE15" s="48" t="s">
        <x:v>1</x:v>
      </x:c>
    </x:row>
    <x:row r="16" ht="21" customHeight="1">
      <x:c r="A16" s="48" t="s">
        <x:v>1</x:v>
      </x:c>
      <x:c r="B16" s="51" t="s">
        <x:v>33</x:v>
      </x:c>
      <x:c r="C16" s="63" t="s">
        <x:v>91</x:v>
      </x:c>
      <x:c r="D16" s="51" t="s">
        <x:v>93</x:v>
      </x:c>
      <x:c r="E16" s="50" t="s">
        <x:v>70</x:v>
      </x:c>
      <x:c r="F16" s="51">
        <x:v>1670</x:v>
      </x:c>
      <x:c r="G16" s="51">
        <x:v>500</x:v>
      </x:c>
      <x:c r="H16" s="48" t="n">
        <x:f>=F16+G16</x:f>
        <x:v>2170</x:v>
      </x:c>
      <x:c r="I16" s="48">
        <x:v>9000</x:v>
      </x:c>
      <x:c r="J16" s="48">
        <x:v>800</x:v>
      </x:c>
      <x:c r="K16" s="48">
        <x:v>1</x:v>
      </x:c>
      <x:c r="L16" s="64">
        <x:v>1</x:v>
      </x:c>
      <x:c r="M16" s="48">
        <x:v>3100</x:v>
      </x:c>
      <x:c r="N16" s="48" t="s">
        <x:v>1</x:v>
      </x:c>
      <x:c r="O16" s="48" t="s">
        <x:v>1</x:v>
      </x:c>
      <x:c r="Q16" s="52" t="s">
        <x:v>31</x:v>
      </x:c>
      <x:c r="R16" s="61">
        <x:v>15000</x:v>
      </x:c>
      <x:c r="S16" s="62">
        <x:v>100000</x:v>
      </x:c>
      <x:c r="U16" s="48" t="s">
        <x:v>1</x:v>
      </x:c>
      <x:c r="V16" s="48" t="s">
        <x:v>1</x:v>
      </x:c>
      <x:c r="W16" s="48" t="s">
        <x:v>1</x:v>
      </x:c>
      <x:c r="X16" s="48" t="s">
        <x:v>1</x:v>
      </x:c>
      <x:c r="Y16" s="48" t="s">
        <x:v>1</x:v>
      </x:c>
      <x:c r="Z16" s="48" t="s">
        <x:v>1</x:v>
      </x:c>
      <x:c r="AA16" s="48" t="s">
        <x:v>1</x:v>
      </x:c>
      <x:c r="AB16" s="48" t="s">
        <x:v>1</x:v>
      </x:c>
      <x:c r="AC16" s="48" t="s">
        <x:v>1</x:v>
      </x:c>
      <x:c r="AD16" s="48" t="s">
        <x:v>1</x:v>
      </x:c>
      <x:c r="AE16" s="48" t="s">
        <x:v>1</x:v>
      </x:c>
    </x:row>
    <x:row r="17" ht="21" customHeight="1">
      <x:c r="A17" s="48" t="s">
        <x:v>1</x:v>
      </x:c>
      <x:c r="B17" s="51" t="s">
        <x:v>33</x:v>
      </x:c>
      <x:c r="C17" s="51" t="s">
        <x:v>94</x:v>
      </x:c>
      <x:c r="D17" s="51" t="s">
        <x:v>95</x:v>
      </x:c>
      <x:c r="E17" s="50" t="s">
        <x:v>70</x:v>
      </x:c>
      <x:c r="F17" s="51">
        <x:v>1670</x:v>
      </x:c>
      <x:c r="G17" s="48">
        <x:v>0</x:v>
      </x:c>
      <x:c r="H17" s="48" t="n">
        <x:f>=F17+G17</x:f>
        <x:v>1670</x:v>
      </x:c>
      <x:c r="I17" s="48">
        <x:v>45000</x:v>
      </x:c>
      <x:c r="J17" s="48">
        <x:v>1500</x:v>
      </x:c>
      <x:c r="K17" s="48">
        <x:v>1</x:v>
      </x:c>
      <x:c r="L17" s="64">
        <x:v>1</x:v>
      </x:c>
      <x:c r="M17" s="48" t="s">
        <x:v>1</x:v>
      </x:c>
      <x:c r="N17" s="48" t="s">
        <x:v>1</x:v>
      </x:c>
      <x:c r="O17" s="48" t="s">
        <x:v>1</x:v>
      </x:c>
      <x:c r="Q17" s="52" t="s">
        <x:v>28</x:v>
      </x:c>
      <x:c r="R17" s="61">
        <x:v>20000</x:v>
      </x:c>
      <x:c r="S17" s="62">
        <x:v>150000</x:v>
      </x:c>
      <x:c r="U17" s="48" t="s">
        <x:v>1</x:v>
      </x:c>
      <x:c r="V17" s="48" t="s">
        <x:v>1</x:v>
      </x:c>
      <x:c r="W17" s="48" t="s">
        <x:v>1</x:v>
      </x:c>
      <x:c r="X17" s="48" t="s">
        <x:v>1</x:v>
      </x:c>
      <x:c r="Y17" s="48" t="s">
        <x:v>1</x:v>
      </x:c>
      <x:c r="Z17" s="48" t="s">
        <x:v>1</x:v>
      </x:c>
      <x:c r="AA17" s="48" t="s">
        <x:v>1</x:v>
      </x:c>
      <x:c r="AB17" s="48" t="s">
        <x:v>1</x:v>
      </x:c>
      <x:c r="AC17" s="48" t="s">
        <x:v>1</x:v>
      </x:c>
      <x:c r="AD17" s="48" t="s">
        <x:v>1</x:v>
      </x:c>
      <x:c r="AE17" s="48" t="s">
        <x:v>1</x:v>
      </x:c>
    </x:row>
    <x:row r="18" ht="21" hidden="1" customHeight="1">
      <x:c r="A18" s="48" t="s">
        <x:v>1</x:v>
      </x:c>
      <x:c r="B18" s="65" t="s">
        <x:v>33</x:v>
      </x:c>
      <x:c r="C18" s="66" t="s">
        <x:v>65</x:v>
      </x:c>
      <x:c r="D18" s="65" t="s">
        <x:v>96</x:v>
      </x:c>
      <x:c r="E18" s="67" t="s">
        <x:v>59</x:v>
      </x:c>
      <x:c r="F18" s="65">
        <x:v>1110</x:v>
      </x:c>
      <x:c r="G18" s="68">
        <x:v>0</x:v>
      </x:c>
      <x:c r="H18" s="68" t="n">
        <x:f>=F18+G18</x:f>
        <x:v>1110</x:v>
      </x:c>
      <x:c r="I18" s="68">
        <x:v>2000</x:v>
      </x:c>
      <x:c r="J18" s="68" t="s">
        <x:v>60</x:v>
      </x:c>
      <x:c r="K18" s="68" t="s">
        <x:v>1</x:v>
      </x:c>
      <x:c r="L18" s="68" t="s">
        <x:v>1</x:v>
      </x:c>
      <x:c r="M18" s="68" t="s">
        <x:v>97</x:v>
      </x:c>
      <x:c r="N18" s="48" t="s">
        <x:v>1</x:v>
      </x:c>
      <x:c r="O18" s="48" t="s">
        <x:v>1</x:v>
      </x:c>
      <x:c r="Q18" s="52" t="s">
        <x:v>32</x:v>
      </x:c>
      <x:c r="R18" s="61">
        <x:v>20000</x:v>
      </x:c>
      <x:c r="S18" s="62">
        <x:v>150000</x:v>
      </x:c>
      <x:c r="U18" s="48" t="s">
        <x:v>1</x:v>
      </x:c>
      <x:c r="V18" s="48" t="s">
        <x:v>1</x:v>
      </x:c>
      <x:c r="W18" s="48" t="s">
        <x:v>1</x:v>
      </x:c>
      <x:c r="X18" s="48" t="s">
        <x:v>1</x:v>
      </x:c>
      <x:c r="Y18" s="48" t="s">
        <x:v>1</x:v>
      </x:c>
      <x:c r="Z18" s="48" t="s">
        <x:v>1</x:v>
      </x:c>
      <x:c r="AA18" s="48" t="s">
        <x:v>1</x:v>
      </x:c>
      <x:c r="AB18" s="48" t="s">
        <x:v>1</x:v>
      </x:c>
      <x:c r="AC18" s="48" t="s">
        <x:v>1</x:v>
      </x:c>
      <x:c r="AD18" s="48" t="s">
        <x:v>1</x:v>
      </x:c>
      <x:c r="AE18" s="48" t="s">
        <x:v>1</x:v>
      </x:c>
    </x:row>
    <x:row r="19" ht="21" hidden="1" customHeight="1">
      <x:c r="A19" s="48" t="s">
        <x:v>1</x:v>
      </x:c>
      <x:c r="B19" s="65" t="s">
        <x:v>33</x:v>
      </x:c>
      <x:c r="C19" s="65" t="s">
        <x:v>62</x:v>
      </x:c>
      <x:c r="D19" s="65" t="s">
        <x:v>98</x:v>
      </x:c>
      <x:c r="E19" s="67" t="s">
        <x:v>59</x:v>
      </x:c>
      <x:c r="F19" s="65">
        <x:v>1110</x:v>
      </x:c>
      <x:c r="G19" s="68">
        <x:v>0</x:v>
      </x:c>
      <x:c r="H19" s="68" t="n">
        <x:f>=F19+G19</x:f>
        <x:v>1110</x:v>
      </x:c>
      <x:c r="I19" s="68">
        <x:v>21000</x:v>
      </x:c>
      <x:c r="J19" s="68" t="s">
        <x:v>60</x:v>
      </x:c>
      <x:c r="K19" s="68" t="s">
        <x:v>1</x:v>
      </x:c>
      <x:c r="L19" s="68" t="s">
        <x:v>1</x:v>
      </x:c>
      <x:c r="M19" s="68" t="s">
        <x:v>97</x:v>
      </x:c>
      <x:c r="N19" s="48" t="s">
        <x:v>1</x:v>
      </x:c>
      <x:c r="O19" s="48" t="s">
        <x:v>1</x:v>
      </x:c>
      <x:c r="Q19" s="52" t="s">
        <x:v>30</x:v>
      </x:c>
      <x:c r="R19" s="61">
        <x:v>20000</x:v>
      </x:c>
      <x:c r="S19" s="62">
        <x:v>150000</x:v>
      </x:c>
      <x:c r="U19" s="48" t="s">
        <x:v>1</x:v>
      </x:c>
      <x:c r="V19" s="48" t="s">
        <x:v>1</x:v>
      </x:c>
      <x:c r="W19" s="48" t="s">
        <x:v>1</x:v>
      </x:c>
      <x:c r="X19" s="48" t="s">
        <x:v>1</x:v>
      </x:c>
      <x:c r="Y19" s="48" t="s">
        <x:v>1</x:v>
      </x:c>
      <x:c r="Z19" s="48" t="s">
        <x:v>1</x:v>
      </x:c>
      <x:c r="AA19" s="48" t="s">
        <x:v>1</x:v>
      </x:c>
      <x:c r="AB19" s="48" t="s">
        <x:v>1</x:v>
      </x:c>
      <x:c r="AC19" s="48" t="s">
        <x:v>1</x:v>
      </x:c>
      <x:c r="AD19" s="48" t="s">
        <x:v>1</x:v>
      </x:c>
      <x:c r="AE19" s="48" t="s">
        <x:v>1</x:v>
      </x:c>
    </x:row>
    <x:row r="20" ht="21" customHeight="1">
      <x:c r="A20" s="48" t="s">
        <x:v>1</x:v>
      </x:c>
      <x:c r="B20" s="51" t="s">
        <x:v>33</x:v>
      </x:c>
      <x:c r="C20" s="51" t="s">
        <x:v>99</x:v>
      </x:c>
      <x:c r="D20" s="69" t="s">
        <x:v>100</x:v>
      </x:c>
      <x:c r="E20" s="50" t="s">
        <x:v>70</x:v>
      </x:c>
      <x:c r="F20" s="51">
        <x:v>0</x:v>
      </x:c>
      <x:c r="G20" s="48">
        <x:v>1000</x:v>
      </x:c>
      <x:c r="H20" s="48">
        <x:v>1000</x:v>
      </x:c>
      <x:c r="I20" s="48">
        <x:v>55000</x:v>
      </x:c>
      <x:c r="J20" s="48">
        <x:v>800</x:v>
      </x:c>
      <x:c r="K20" s="48">
        <x:v>1</x:v>
      </x:c>
      <x:c r="L20" s="64">
        <x:v>1</x:v>
      </x:c>
      <x:c r="M20" s="48" t="s">
        <x:v>1</x:v>
      </x:c>
      <x:c r="N20" s="48" t="s">
        <x:v>1</x:v>
      </x:c>
      <x:c r="O20" s="48" t="s">
        <x:v>1</x:v>
      </x:c>
      <x:c r="Q20" s="52" t="s">
        <x:v>34</x:v>
      </x:c>
      <x:c r="R20" s="61">
        <x:v>15000</x:v>
      </x:c>
      <x:c r="S20" s="62">
        <x:v>100000</x:v>
      </x:c>
      <x:c r="U20" s="48" t="s">
        <x:v>1</x:v>
      </x:c>
      <x:c r="V20" s="48" t="s">
        <x:v>1</x:v>
      </x:c>
      <x:c r="W20" s="48" t="s">
        <x:v>1</x:v>
      </x:c>
      <x:c r="X20" s="48" t="s">
        <x:v>1</x:v>
      </x:c>
      <x:c r="Y20" s="48" t="s">
        <x:v>1</x:v>
      </x:c>
      <x:c r="Z20" s="48" t="s">
        <x:v>1</x:v>
      </x:c>
      <x:c r="AA20" s="48" t="s">
        <x:v>1</x:v>
      </x:c>
      <x:c r="AB20" s="48" t="s">
        <x:v>1</x:v>
      </x:c>
      <x:c r="AC20" s="48" t="s">
        <x:v>1</x:v>
      </x:c>
      <x:c r="AD20" s="48" t="s">
        <x:v>1</x:v>
      </x:c>
      <x:c r="AE20" s="48" t="s">
        <x:v>1</x:v>
      </x:c>
    </x:row>
    <x:row r="21" ht="21" hidden="1" customHeight="1">
      <x:c r="A21" s="48" t="s">
        <x:v>1</x:v>
      </x:c>
      <x:c r="B21" s="51" t="s">
        <x:v>33</x:v>
      </x:c>
      <x:c r="C21" s="51" t="s">
        <x:v>101</x:v>
      </x:c>
      <x:c r="D21" s="51" t="s">
        <x:v>87</x:v>
      </x:c>
      <x:c r="E21" s="50" t="s">
        <x:v>59</x:v>
      </x:c>
      <x:c r="F21" s="48" t="s">
        <x:v>60</x:v>
      </x:c>
      <x:c r="G21" s="51" t="s">
        <x:v>60</x:v>
      </x:c>
      <x:c r="H21" s="48" t="s">
        <x:v>60</x:v>
      </x:c>
      <x:c r="I21" s="48" t="s">
        <x:v>60</x:v>
      </x:c>
      <x:c r="J21" s="48" t="s">
        <x:v>60</x:v>
      </x:c>
      <x:c r="K21" s="48" t="s">
        <x:v>1</x:v>
      </x:c>
      <x:c r="L21" s="48" t="s">
        <x:v>1</x:v>
      </x:c>
      <x:c r="M21" s="48" t="s">
        <x:v>1</x:v>
      </x:c>
      <x:c r="N21" s="48" t="s">
        <x:v>1</x:v>
      </x:c>
      <x:c r="O21" s="48" t="s">
        <x:v>1</x:v>
      </x:c>
      <x:c r="T21" s="48" t="s">
        <x:v>1</x:v>
      </x:c>
      <x:c r="U21" s="48" t="s">
        <x:v>1</x:v>
      </x:c>
      <x:c r="V21" s="48" t="s">
        <x:v>1</x:v>
      </x:c>
      <x:c r="W21" s="48" t="s">
        <x:v>1</x:v>
      </x:c>
      <x:c r="X21" s="48" t="s">
        <x:v>1</x:v>
      </x:c>
      <x:c r="Y21" s="48" t="s">
        <x:v>1</x:v>
      </x:c>
      <x:c r="Z21" s="48" t="s">
        <x:v>1</x:v>
      </x:c>
      <x:c r="AA21" s="48" t="s">
        <x:v>1</x:v>
      </x:c>
      <x:c r="AB21" s="48" t="s">
        <x:v>1</x:v>
      </x:c>
      <x:c r="AC21" s="48" t="s">
        <x:v>1</x:v>
      </x:c>
      <x:c r="AD21" s="48" t="s">
        <x:v>1</x:v>
      </x:c>
      <x:c r="AE21" s="48" t="s">
        <x:v>1</x:v>
      </x:c>
    </x:row>
    <x:row r="22" ht="21" hidden="1" customHeight="1">
      <x:c r="A22" s="48" t="s">
        <x:v>1</x:v>
      </x:c>
      <x:c r="B22" s="63" t="s">
        <x:v>31</x:v>
      </x:c>
      <x:c r="C22" s="63" t="s">
        <x:v>62</x:v>
      </x:c>
      <x:c r="D22" s="48" t="s">
        <x:v>102</x:v>
      </x:c>
      <x:c r="E22" s="50" t="s">
        <x:v>59</x:v>
      </x:c>
      <x:c r="F22" s="48">
        <x:v>1230</x:v>
      </x:c>
      <x:c r="G22" s="48">
        <x:v>0</x:v>
      </x:c>
      <x:c r="H22" s="48" t="n">
        <x:f>=F22+G22</x:f>
        <x:v>1230</x:v>
      </x:c>
      <x:c r="I22" s="48">
        <x:v>5000</x:v>
      </x:c>
      <x:c r="J22" s="48" t="s">
        <x:v>60</x:v>
      </x:c>
      <x:c r="K22" s="48" t="s">
        <x:v>1</x:v>
      </x:c>
      <x:c r="L22" s="48" t="s">
        <x:v>1</x:v>
      </x:c>
      <x:c r="M22" s="48" t="s">
        <x:v>1</x:v>
      </x:c>
      <x:c r="N22" s="48" t="s">
        <x:v>1</x:v>
      </x:c>
      <x:c r="O22" s="48" t="s">
        <x:v>1</x:v>
      </x:c>
      <x:c r="P22" s="48" t="s">
        <x:v>1</x:v>
      </x:c>
      <x:c r="Q22" s="48" t="s">
        <x:v>1</x:v>
      </x:c>
      <x:c r="T22" s="48" t="s">
        <x:v>1</x:v>
      </x:c>
      <x:c r="U22" s="48" t="s">
        <x:v>1</x:v>
      </x:c>
      <x:c r="V22" s="48" t="s">
        <x:v>1</x:v>
      </x:c>
      <x:c r="W22" s="48" t="s">
        <x:v>1</x:v>
      </x:c>
      <x:c r="X22" s="48" t="s">
        <x:v>1</x:v>
      </x:c>
      <x:c r="Y22" s="48" t="s">
        <x:v>1</x:v>
      </x:c>
      <x:c r="Z22" s="48" t="s">
        <x:v>1</x:v>
      </x:c>
      <x:c r="AA22" s="48" t="s">
        <x:v>1</x:v>
      </x:c>
      <x:c r="AB22" s="48" t="s">
        <x:v>1</x:v>
      </x:c>
      <x:c r="AC22" s="48" t="s">
        <x:v>1</x:v>
      </x:c>
      <x:c r="AD22" s="48" t="s">
        <x:v>1</x:v>
      </x:c>
      <x:c r="AE22" s="48" t="s">
        <x:v>1</x:v>
      </x:c>
    </x:row>
    <x:row r="23" ht="21" customHeight="1">
      <x:c r="A23" s="48" t="s">
        <x:v>1</x:v>
      </x:c>
      <x:c r="B23" s="63" t="s">
        <x:v>31</x:v>
      </x:c>
      <x:c r="C23" s="63" t="s">
        <x:v>103</x:v>
      </x:c>
      <x:c r="D23" s="48" t="s">
        <x:v>104</x:v>
      </x:c>
      <x:c r="E23" s="50" t="s">
        <x:v>70</x:v>
      </x:c>
      <x:c r="F23" s="48">
        <x:v>1269</x:v>
      </x:c>
      <x:c r="G23" s="48">
        <x:v>0</x:v>
      </x:c>
      <x:c r="H23" s="48" t="n">
        <x:f>=F23+G23</x:f>
        <x:v>1269</x:v>
      </x:c>
      <x:c r="I23" s="48">
        <x:v>5000</x:v>
      </x:c>
      <x:c r="J23" s="48">
        <x:v>1000</x:v>
      </x:c>
      <x:c r="K23" s="48">
        <x:v>1</x:v>
      </x:c>
      <x:c r="L23" s="64">
        <x:v>1</x:v>
      </x:c>
      <x:c r="M23" s="48">
        <x:v>2000</x:v>
      </x:c>
      <x:c r="N23" s="48" t="s">
        <x:v>1</x:v>
      </x:c>
      <x:c r="O23" s="48" t="s">
        <x:v>1</x:v>
      </x:c>
      <x:c r="P23" s="48" t="s">
        <x:v>1</x:v>
      </x:c>
      <x:c r="Q23" s="48" t="s">
        <x:v>1</x:v>
      </x:c>
      <x:c r="T23" s="48" t="s">
        <x:v>1</x:v>
      </x:c>
      <x:c r="U23" s="48" t="s">
        <x:v>1</x:v>
      </x:c>
      <x:c r="V23" s="48" t="s">
        <x:v>1</x:v>
      </x:c>
      <x:c r="W23" s="48" t="s">
        <x:v>1</x:v>
      </x:c>
      <x:c r="X23" s="48" t="s">
        <x:v>1</x:v>
      </x:c>
      <x:c r="Y23" s="48" t="s">
        <x:v>1</x:v>
      </x:c>
      <x:c r="Z23" s="48" t="s">
        <x:v>1</x:v>
      </x:c>
      <x:c r="AA23" s="48" t="s">
        <x:v>1</x:v>
      </x:c>
      <x:c r="AB23" s="48" t="s">
        <x:v>1</x:v>
      </x:c>
      <x:c r="AC23" s="48" t="s">
        <x:v>1</x:v>
      </x:c>
      <x:c r="AD23" s="48" t="s">
        <x:v>1</x:v>
      </x:c>
      <x:c r="AE23" s="48" t="s">
        <x:v>1</x:v>
      </x:c>
    </x:row>
    <x:row r="24" ht="21" customHeight="1">
      <x:c r="A24" s="48" t="s">
        <x:v>1</x:v>
      </x:c>
      <x:c r="B24" s="63" t="s">
        <x:v>31</x:v>
      </x:c>
      <x:c r="C24" s="63" t="s">
        <x:v>105</x:v>
      </x:c>
      <x:c r="D24" s="48" t="s">
        <x:v>106</x:v>
      </x:c>
      <x:c r="E24" s="50" t="s">
        <x:v>70</x:v>
      </x:c>
      <x:c r="F24" s="48">
        <x:v>1506</x:v>
      </x:c>
      <x:c r="G24" s="48">
        <x:v>0</x:v>
      </x:c>
      <x:c r="H24" s="48" t="n">
        <x:f>=F24+G24</x:f>
        <x:v>1506</x:v>
      </x:c>
      <x:c r="I24" s="48">
        <x:v>5000</x:v>
      </x:c>
      <x:c r="J24" s="48">
        <x:v>1000</x:v>
      </x:c>
      <x:c r="K24" s="48">
        <x:v>1</x:v>
      </x:c>
      <x:c r="L24" s="64">
        <x:v>1</x:v>
      </x:c>
      <x:c r="M24" s="48" t="s">
        <x:v>1</x:v>
      </x:c>
      <x:c r="N24" s="48" t="s">
        <x:v>1</x:v>
      </x:c>
      <x:c r="O24" s="48" t="s">
        <x:v>1</x:v>
      </x:c>
      <x:c r="P24" s="48" t="s">
        <x:v>1</x:v>
      </x:c>
      <x:c r="Q24" s="48" t="s">
        <x:v>1</x:v>
      </x:c>
      <x:c r="T24" s="48" t="s">
        <x:v>1</x:v>
      </x:c>
      <x:c r="U24" s="48" t="s">
        <x:v>1</x:v>
      </x:c>
      <x:c r="V24" s="48" t="s">
        <x:v>1</x:v>
      </x:c>
      <x:c r="W24" s="48" t="s">
        <x:v>1</x:v>
      </x:c>
      <x:c r="X24" s="48" t="s">
        <x:v>1</x:v>
      </x:c>
      <x:c r="Y24" s="48" t="s">
        <x:v>1</x:v>
      </x:c>
      <x:c r="Z24" s="48" t="s">
        <x:v>1</x:v>
      </x:c>
      <x:c r="AA24" s="48" t="s">
        <x:v>1</x:v>
      </x:c>
      <x:c r="AB24" s="48" t="s">
        <x:v>1</x:v>
      </x:c>
      <x:c r="AC24" s="48" t="s">
        <x:v>1</x:v>
      </x:c>
      <x:c r="AD24" s="48" t="s">
        <x:v>1</x:v>
      </x:c>
      <x:c r="AE24" s="48" t="s">
        <x:v>1</x:v>
      </x:c>
    </x:row>
    <x:row r="25" ht="21" hidden="1" customHeight="1">
      <x:c r="A25" s="48" t="s">
        <x:v>1</x:v>
      </x:c>
      <x:c r="B25" s="66" t="s">
        <x:v>31</x:v>
      </x:c>
      <x:c r="C25" s="66" t="s">
        <x:v>65</x:v>
      </x:c>
      <x:c r="D25" s="68" t="s">
        <x:v>107</x:v>
      </x:c>
      <x:c r="E25" s="67" t="s">
        <x:v>59</x:v>
      </x:c>
      <x:c r="F25" s="65">
        <x:v>1180</x:v>
      </x:c>
      <x:c r="G25" s="68">
        <x:v>0</x:v>
      </x:c>
      <x:c r="H25" s="68" t="n">
        <x:f>=F25+G25</x:f>
        <x:v>1180</x:v>
      </x:c>
      <x:c r="I25" s="68">
        <x:v>2000</x:v>
      </x:c>
      <x:c r="J25" s="68">
        <x:v>0</x:v>
      </x:c>
      <x:c r="K25" s="68" t="s">
        <x:v>1</x:v>
      </x:c>
      <x:c r="L25" s="68" t="s">
        <x:v>1</x:v>
      </x:c>
      <x:c r="M25" s="68" t="s">
        <x:v>97</x:v>
      </x:c>
      <x:c r="N25" s="48" t="s">
        <x:v>1</x:v>
      </x:c>
      <x:c r="O25" s="48" t="s">
        <x:v>1</x:v>
      </x:c>
      <x:c r="P25" s="48" t="s">
        <x:v>1</x:v>
      </x:c>
      <x:c r="Q25" s="48" t="s">
        <x:v>1</x:v>
      </x:c>
      <x:c r="T25" s="48" t="s">
        <x:v>1</x:v>
      </x:c>
      <x:c r="U25" s="48" t="s">
        <x:v>1</x:v>
      </x:c>
      <x:c r="V25" s="48" t="s">
        <x:v>1</x:v>
      </x:c>
      <x:c r="W25" s="48" t="s">
        <x:v>1</x:v>
      </x:c>
      <x:c r="X25" s="48" t="s">
        <x:v>1</x:v>
      </x:c>
      <x:c r="Y25" s="48" t="s">
        <x:v>1</x:v>
      </x:c>
      <x:c r="Z25" s="48" t="s">
        <x:v>1</x:v>
      </x:c>
      <x:c r="AA25" s="48" t="s">
        <x:v>1</x:v>
      </x:c>
      <x:c r="AB25" s="48" t="s">
        <x:v>1</x:v>
      </x:c>
      <x:c r="AC25" s="48" t="s">
        <x:v>1</x:v>
      </x:c>
      <x:c r="AD25" s="48" t="s">
        <x:v>1</x:v>
      </x:c>
      <x:c r="AE25" s="48" t="s">
        <x:v>1</x:v>
      </x:c>
    </x:row>
    <x:row r="26" ht="21" hidden="1" customHeight="1">
      <x:c r="A26" s="48" t="s">
        <x:v>1</x:v>
      </x:c>
      <x:c r="B26" s="63" t="s">
        <x:v>31</x:v>
      </x:c>
      <x:c r="C26" s="63" t="s">
        <x:v>108</x:v>
      </x:c>
      <x:c r="D26" s="70" t="s">
        <x:v>109</x:v>
      </x:c>
      <x:c r="E26" s="50" t="s">
        <x:v>70</x:v>
      </x:c>
      <x:c r="F26" s="51">
        <x:v>876</x:v>
      </x:c>
      <x:c r="G26" s="48">
        <x:v>1000</x:v>
      </x:c>
      <x:c r="H26" s="48" t="n">
        <x:f>=F26+G26</x:f>
        <x:v>1876</x:v>
      </x:c>
      <x:c r="I26" s="48">
        <x:v>60000</x:v>
      </x:c>
      <x:c r="J26" s="48">
        <x:v>0</x:v>
      </x:c>
      <x:c r="K26" s="48" t="s">
        <x:v>1</x:v>
      </x:c>
      <x:c r="L26" s="48" t="s">
        <x:v>1</x:v>
      </x:c>
      <x:c r="M26" s="48" t="s">
        <x:v>1</x:v>
      </x:c>
      <x:c r="N26" s="48" t="s">
        <x:v>1</x:v>
      </x:c>
      <x:c r="O26" s="48" t="s">
        <x:v>1</x:v>
      </x:c>
      <x:c r="P26" s="48" t="s">
        <x:v>1</x:v>
      </x:c>
      <x:c r="Q26" s="48" t="s">
        <x:v>1</x:v>
      </x:c>
      <x:c r="R26" s="48" t="s">
        <x:v>1</x:v>
      </x:c>
      <x:c r="S26" s="48" t="s">
        <x:v>1</x:v>
      </x:c>
      <x:c r="T26" s="48" t="s">
        <x:v>1</x:v>
      </x:c>
      <x:c r="U26" s="48" t="s">
        <x:v>1</x:v>
      </x:c>
      <x:c r="V26" s="48" t="s">
        <x:v>1</x:v>
      </x:c>
      <x:c r="W26" s="48" t="s">
        <x:v>1</x:v>
      </x:c>
      <x:c r="X26" s="48" t="s">
        <x:v>1</x:v>
      </x:c>
      <x:c r="Y26" s="48" t="s">
        <x:v>1</x:v>
      </x:c>
      <x:c r="Z26" s="48" t="s">
        <x:v>1</x:v>
      </x:c>
      <x:c r="AA26" s="48" t="s">
        <x:v>1</x:v>
      </x:c>
      <x:c r="AB26" s="48" t="s">
        <x:v>1</x:v>
      </x:c>
      <x:c r="AC26" s="48" t="s">
        <x:v>1</x:v>
      </x:c>
      <x:c r="AD26" s="48" t="s">
        <x:v>1</x:v>
      </x:c>
      <x:c r="AE26" s="48" t="s">
        <x:v>1</x:v>
      </x:c>
    </x:row>
    <x:row r="27" ht="21" hidden="1" customHeight="1">
      <x:c r="A27" s="48" t="s">
        <x:v>1</x:v>
      </x:c>
      <x:c r="B27" s="66" t="s">
        <x:v>30</x:v>
      </x:c>
      <x:c r="C27" s="66" t="s">
        <x:v>62</x:v>
      </x:c>
      <x:c r="D27" s="71" t="s">
        <x:v>110</x:v>
      </x:c>
      <x:c r="E27" s="67" t="s">
        <x:v>59</x:v>
      </x:c>
      <x:c r="F27" s="65">
        <x:v>2298</x:v>
      </x:c>
      <x:c r="G27" s="68" t="s">
        <x:v>60</x:v>
      </x:c>
      <x:c r="H27" s="68" t="n">
        <x:f>=SUM(F27:G27)</x:f>
        <x:v>2298</x:v>
      </x:c>
      <x:c r="I27" s="68">
        <x:v>24000</x:v>
      </x:c>
      <x:c r="J27" s="68" t="s">
        <x:v>60</x:v>
      </x:c>
      <x:c r="K27" s="68" t="s">
        <x:v>1</x:v>
      </x:c>
      <x:c r="L27" s="68" t="s">
        <x:v>1</x:v>
      </x:c>
      <x:c r="M27" s="68" t="s">
        <x:v>97</x:v>
      </x:c>
      <x:c r="N27" s="48" t="s">
        <x:v>1</x:v>
      </x:c>
      <x:c r="O27" s="48" t="s">
        <x:v>1</x:v>
      </x:c>
      <x:c r="P27" s="48" t="s">
        <x:v>1</x:v>
      </x:c>
      <x:c r="Q27" s="48" t="s">
        <x:v>1</x:v>
      </x:c>
      <x:c r="R27" s="48" t="s">
        <x:v>1</x:v>
      </x:c>
      <x:c r="S27" s="48" t="s">
        <x:v>1</x:v>
      </x:c>
      <x:c r="T27" s="48" t="s">
        <x:v>1</x:v>
      </x:c>
      <x:c r="U27" s="48" t="s">
        <x:v>1</x:v>
      </x:c>
      <x:c r="V27" s="48" t="s">
        <x:v>1</x:v>
      </x:c>
      <x:c r="W27" s="48" t="s">
        <x:v>1</x:v>
      </x:c>
      <x:c r="X27" s="48" t="s">
        <x:v>1</x:v>
      </x:c>
      <x:c r="Y27" s="48" t="s">
        <x:v>1</x:v>
      </x:c>
      <x:c r="Z27" s="48" t="s">
        <x:v>1</x:v>
      </x:c>
      <x:c r="AA27" s="48" t="s">
        <x:v>1</x:v>
      </x:c>
      <x:c r="AB27" s="48" t="s">
        <x:v>1</x:v>
      </x:c>
      <x:c r="AC27" s="48" t="s">
        <x:v>1</x:v>
      </x:c>
      <x:c r="AD27" s="48" t="s">
        <x:v>1</x:v>
      </x:c>
      <x:c r="AE27" s="48" t="s">
        <x:v>1</x:v>
      </x:c>
    </x:row>
    <x:row r="28" ht="21" customHeight="1">
      <x:c r="A28" s="48" t="s">
        <x:v>1</x:v>
      </x:c>
      <x:c r="B28" s="72" t="s">
        <x:v>30</x:v>
      </x:c>
      <x:c r="C28" s="63" t="s">
        <x:v>111</x:v>
      </x:c>
      <x:c r="D28" s="70" t="s">
        <x:v>112</x:v>
      </x:c>
      <x:c r="E28" s="73" t="s">
        <x:v>70</x:v>
      </x:c>
      <x:c r="F28" s="51">
        <x:v>2194</x:v>
      </x:c>
      <x:c r="G28" s="48">
        <x:v>1000</x:v>
      </x:c>
      <x:c r="H28" s="48" t="n">
        <x:f>=SUM(F28:G28)</x:f>
        <x:v>3194</x:v>
      </x:c>
      <x:c r="I28" s="48">
        <x:v>4000</x:v>
      </x:c>
      <x:c r="J28" s="48">
        <x:v>1000</x:v>
      </x:c>
      <x:c r="K28" s="64">
        <x:v>1</x:v>
      </x:c>
      <x:c r="L28" s="64">
        <x:v>1</x:v>
      </x:c>
      <x:c r="M28" s="48" t="s">
        <x:v>1</x:v>
      </x:c>
      <x:c r="N28" s="48" t="s">
        <x:v>1</x:v>
      </x:c>
      <x:c r="O28" s="48" t="s">
        <x:v>1</x:v>
      </x:c>
      <x:c r="P28" s="48" t="s">
        <x:v>1</x:v>
      </x:c>
      <x:c r="Q28" s="48" t="s">
        <x:v>1</x:v>
      </x:c>
      <x:c r="R28" s="48" t="s">
        <x:v>1</x:v>
      </x:c>
      <x:c r="S28" s="48" t="s">
        <x:v>1</x:v>
      </x:c>
      <x:c r="T28" s="48" t="s">
        <x:v>1</x:v>
      </x:c>
      <x:c r="U28" s="48" t="s">
        <x:v>1</x:v>
      </x:c>
      <x:c r="V28" s="48" t="s">
        <x:v>1</x:v>
      </x:c>
      <x:c r="W28" s="48" t="s">
        <x:v>1</x:v>
      </x:c>
      <x:c r="X28" s="48" t="s">
        <x:v>1</x:v>
      </x:c>
      <x:c r="Y28" s="48" t="s">
        <x:v>1</x:v>
      </x:c>
      <x:c r="Z28" s="48" t="s">
        <x:v>1</x:v>
      </x:c>
      <x:c r="AA28" s="48" t="s">
        <x:v>1</x:v>
      </x:c>
      <x:c r="AB28" s="48" t="s">
        <x:v>1</x:v>
      </x:c>
      <x:c r="AC28" s="48" t="s">
        <x:v>1</x:v>
      </x:c>
      <x:c r="AD28" s="48" t="s">
        <x:v>1</x:v>
      </x:c>
      <x:c r="AE28" s="48" t="s">
        <x:v>1</x:v>
      </x:c>
    </x:row>
    <x:row r="29" ht="21" hidden="1" customHeight="1">
      <x:c r="A29" s="48" t="s">
        <x:v>1</x:v>
      </x:c>
      <x:c r="B29" s="63" t="s">
        <x:v>30</x:v>
      </x:c>
      <x:c r="C29" s="63" t="s">
        <x:v>57</x:v>
      </x:c>
      <x:c r="D29" s="70" t="s">
        <x:v>113</x:v>
      </x:c>
      <x:c r="E29" s="73" t="s">
        <x:v>59</x:v>
      </x:c>
      <x:c r="F29" s="51">
        <x:v>796</x:v>
      </x:c>
      <x:c r="G29" s="48" t="s">
        <x:v>60</x:v>
      </x:c>
      <x:c r="H29" s="48" t="n">
        <x:f>=SUM(F29:G29)</x:f>
        <x:v>796</x:v>
      </x:c>
      <x:c r="I29" s="48">
        <x:v>255000</x:v>
      </x:c>
      <x:c r="J29" s="48" t="s">
        <x:v>60</x:v>
      </x:c>
      <x:c r="K29" s="48" t="s">
        <x:v>1</x:v>
      </x:c>
      <x:c r="L29" s="48" t="s">
        <x:v>1</x:v>
      </x:c>
      <x:c r="M29" s="48" t="s">
        <x:v>1</x:v>
      </x:c>
      <x:c r="N29" s="48" t="s">
        <x:v>1</x:v>
      </x:c>
      <x:c r="O29" s="48" t="s">
        <x:v>1</x:v>
      </x:c>
      <x:c r="P29" s="48" t="s">
        <x:v>1</x:v>
      </x:c>
      <x:c r="Q29" s="48" t="s">
        <x:v>1</x:v>
      </x:c>
      <x:c r="R29" s="48" t="s">
        <x:v>1</x:v>
      </x:c>
      <x:c r="S29" s="48" t="s">
        <x:v>1</x:v>
      </x:c>
      <x:c r="T29" s="48" t="s">
        <x:v>1</x:v>
      </x:c>
      <x:c r="U29" s="48" t="s">
        <x:v>1</x:v>
      </x:c>
      <x:c r="V29" s="48" t="s">
        <x:v>1</x:v>
      </x:c>
      <x:c r="W29" s="48" t="s">
        <x:v>1</x:v>
      </x:c>
      <x:c r="X29" s="48" t="s">
        <x:v>1</x:v>
      </x:c>
      <x:c r="Y29" s="48" t="s">
        <x:v>1</x:v>
      </x:c>
      <x:c r="Z29" s="48" t="s">
        <x:v>1</x:v>
      </x:c>
      <x:c r="AA29" s="48" t="s">
        <x:v>1</x:v>
      </x:c>
      <x:c r="AB29" s="48" t="s">
        <x:v>1</x:v>
      </x:c>
      <x:c r="AC29" s="48" t="s">
        <x:v>1</x:v>
      </x:c>
      <x:c r="AD29" s="48" t="s">
        <x:v>1</x:v>
      </x:c>
      <x:c r="AE29" s="48" t="s">
        <x:v>1</x:v>
      </x:c>
    </x:row>
    <x:row r="30" ht="21" hidden="1" customHeight="1">
      <x:c r="A30" s="48" t="s">
        <x:v>1</x:v>
      </x:c>
      <x:c r="B30" s="63" t="s">
        <x:v>30</x:v>
      </x:c>
      <x:c r="C30" s="63" t="s">
        <x:v>114</x:v>
      </x:c>
      <x:c r="D30" s="70" t="s">
        <x:v>115</x:v>
      </x:c>
      <x:c r="E30" s="73" t="s">
        <x:v>59</x:v>
      </x:c>
      <x:c r="F30" s="51">
        <x:v>1236</x:v>
      </x:c>
      <x:c r="G30" s="48" t="s">
        <x:v>60</x:v>
      </x:c>
      <x:c r="H30" s="48" t="n">
        <x:f>=SUM(F30:G30)</x:f>
        <x:v>1236</x:v>
      </x:c>
      <x:c r="I30" s="48">
        <x:v>352000</x:v>
      </x:c>
      <x:c r="J30" s="48" t="s">
        <x:v>60</x:v>
      </x:c>
      <x:c r="K30" s="48" t="s">
        <x:v>1</x:v>
      </x:c>
      <x:c r="L30" s="48" t="s">
        <x:v>1</x:v>
      </x:c>
      <x:c r="M30" s="48" t="s">
        <x:v>1</x:v>
      </x:c>
      <x:c r="N30" s="48" t="s">
        <x:v>1</x:v>
      </x:c>
      <x:c r="O30" s="48" t="s">
        <x:v>1</x:v>
      </x:c>
      <x:c r="P30" s="48" t="s">
        <x:v>1</x:v>
      </x:c>
      <x:c r="Q30" s="48" t="s">
        <x:v>1</x:v>
      </x:c>
      <x:c r="R30" s="48" t="s">
        <x:v>1</x:v>
      </x:c>
      <x:c r="S30" s="48" t="s">
        <x:v>1</x:v>
      </x:c>
      <x:c r="T30" s="48" t="s">
        <x:v>1</x:v>
      </x:c>
      <x:c r="U30" s="48" t="s">
        <x:v>1</x:v>
      </x:c>
      <x:c r="V30" s="48" t="s">
        <x:v>1</x:v>
      </x:c>
      <x:c r="W30" s="48" t="s">
        <x:v>1</x:v>
      </x:c>
      <x:c r="X30" s="48" t="s">
        <x:v>1</x:v>
      </x:c>
      <x:c r="Y30" s="48" t="s">
        <x:v>1</x:v>
      </x:c>
      <x:c r="Z30" s="48" t="s">
        <x:v>1</x:v>
      </x:c>
      <x:c r="AA30" s="48" t="s">
        <x:v>1</x:v>
      </x:c>
      <x:c r="AB30" s="48" t="s">
        <x:v>1</x:v>
      </x:c>
      <x:c r="AC30" s="48" t="s">
        <x:v>1</x:v>
      </x:c>
      <x:c r="AD30" s="48" t="s">
        <x:v>1</x:v>
      </x:c>
      <x:c r="AE30" s="48" t="s">
        <x:v>1</x:v>
      </x:c>
    </x:row>
    <x:row r="31" ht="21" hidden="1" customHeight="1">
      <x:c r="A31" s="48" t="s">
        <x:v>1</x:v>
      </x:c>
      <x:c r="B31" s="63" t="s">
        <x:v>30</x:v>
      </x:c>
      <x:c r="C31" s="63" t="s">
        <x:v>116</x:v>
      </x:c>
      <x:c r="D31" s="70" t="s">
        <x:v>117</x:v>
      </x:c>
      <x:c r="E31" s="73" t="s">
        <x:v>59</x:v>
      </x:c>
      <x:c r="F31" s="51">
        <x:v>2082</x:v>
      </x:c>
      <x:c r="G31" s="48">
        <x:v>1000</x:v>
      </x:c>
      <x:c r="H31" s="48" t="n">
        <x:f>=SUM(F31:G31)</x:f>
        <x:v>3082</x:v>
      </x:c>
      <x:c r="I31" s="48">
        <x:v>62000</x:v>
      </x:c>
      <x:c r="J31" s="48" t="s">
        <x:v>60</x:v>
      </x:c>
      <x:c r="K31" s="48" t="s">
        <x:v>1</x:v>
      </x:c>
      <x:c r="L31" s="48" t="s">
        <x:v>1</x:v>
      </x:c>
      <x:c r="M31" s="48" t="s">
        <x:v>1</x:v>
      </x:c>
      <x:c r="N31" s="48" t="s">
        <x:v>1</x:v>
      </x:c>
      <x:c r="O31" s="48" t="s">
        <x:v>1</x:v>
      </x:c>
      <x:c r="P31" s="48" t="s">
        <x:v>1</x:v>
      </x:c>
      <x:c r="Q31" s="48" t="s">
        <x:v>1</x:v>
      </x:c>
      <x:c r="R31" s="48" t="s">
        <x:v>1</x:v>
      </x:c>
      <x:c r="S31" s="48" t="s">
        <x:v>1</x:v>
      </x:c>
      <x:c r="T31" s="48" t="s">
        <x:v>1</x:v>
      </x:c>
      <x:c r="U31" s="48" t="s">
        <x:v>1</x:v>
      </x:c>
      <x:c r="V31" s="48" t="s">
        <x:v>1</x:v>
      </x:c>
      <x:c r="W31" s="48" t="s">
        <x:v>1</x:v>
      </x:c>
      <x:c r="X31" s="48" t="s">
        <x:v>1</x:v>
      </x:c>
      <x:c r="Y31" s="48" t="s">
        <x:v>1</x:v>
      </x:c>
      <x:c r="Z31" s="48" t="s">
        <x:v>1</x:v>
      </x:c>
      <x:c r="AA31" s="48" t="s">
        <x:v>1</x:v>
      </x:c>
      <x:c r="AB31" s="48" t="s">
        <x:v>1</x:v>
      </x:c>
      <x:c r="AC31" s="48" t="s">
        <x:v>1</x:v>
      </x:c>
      <x:c r="AD31" s="48" t="s">
        <x:v>1</x:v>
      </x:c>
      <x:c r="AE31" s="48" t="s">
        <x:v>1</x:v>
      </x:c>
    </x:row>
    <x:row r="32" ht="21" hidden="1" customHeight="1">
      <x:c r="A32" s="48" t="s">
        <x:v>1</x:v>
      </x:c>
      <x:c r="B32" s="63" t="s">
        <x:v>30</x:v>
      </x:c>
      <x:c r="C32" s="63" t="s">
        <x:v>118</x:v>
      </x:c>
      <x:c r="D32" s="70" t="s">
        <x:v>119</x:v>
      </x:c>
      <x:c r="E32" s="73" t="s">
        <x:v>70</x:v>
      </x:c>
      <x:c r="F32" s="51">
        <x:v>3274</x:v>
      </x:c>
      <x:c r="G32" s="48">
        <x:v>1000</x:v>
      </x:c>
      <x:c r="H32" s="48" t="n">
        <x:f>=SUM(F32:G32)</x:f>
        <x:v>4274</x:v>
      </x:c>
      <x:c r="I32" s="48">
        <x:v>64000</x:v>
      </x:c>
      <x:c r="J32" s="48" t="s">
        <x:v>60</x:v>
      </x:c>
      <x:c r="K32" s="48" t="s">
        <x:v>1</x:v>
      </x:c>
      <x:c r="L32" s="48" t="s">
        <x:v>1</x:v>
      </x:c>
      <x:c r="M32" s="48" t="s">
        <x:v>1</x:v>
      </x:c>
      <x:c r="N32" s="48" t="s">
        <x:v>1</x:v>
      </x:c>
      <x:c r="O32" s="48" t="s">
        <x:v>1</x:v>
      </x:c>
      <x:c r="P32" s="48" t="s">
        <x:v>1</x:v>
      </x:c>
      <x:c r="Q32" s="48" t="s">
        <x:v>1</x:v>
      </x:c>
      <x:c r="R32" s="48" t="s">
        <x:v>1</x:v>
      </x:c>
      <x:c r="S32" s="48" t="s">
        <x:v>1</x:v>
      </x:c>
      <x:c r="T32" s="48" t="s">
        <x:v>1</x:v>
      </x:c>
      <x:c r="U32" s="48" t="s">
        <x:v>1</x:v>
      </x:c>
      <x:c r="V32" s="48" t="s">
        <x:v>1</x:v>
      </x:c>
      <x:c r="W32" s="48" t="s">
        <x:v>1</x:v>
      </x:c>
      <x:c r="X32" s="48" t="s">
        <x:v>1</x:v>
      </x:c>
      <x:c r="Y32" s="48" t="s">
        <x:v>1</x:v>
      </x:c>
      <x:c r="Z32" s="48" t="s">
        <x:v>1</x:v>
      </x:c>
      <x:c r="AA32" s="48" t="s">
        <x:v>1</x:v>
      </x:c>
      <x:c r="AB32" s="48" t="s">
        <x:v>1</x:v>
      </x:c>
      <x:c r="AC32" s="48" t="s">
        <x:v>1</x:v>
      </x:c>
      <x:c r="AD32" s="48" t="s">
        <x:v>1</x:v>
      </x:c>
      <x:c r="AE32" s="48" t="s">
        <x:v>1</x:v>
      </x:c>
    </x:row>
    <x:row r="33" ht="21" hidden="1" customHeight="1">
      <x:c r="A33" s="48" t="s">
        <x:v>1</x:v>
      </x:c>
      <x:c r="B33" s="63" t="s">
        <x:v>30</x:v>
      </x:c>
      <x:c r="C33" s="63" t="s">
        <x:v>120</x:v>
      </x:c>
      <x:c r="D33" s="70" t="s">
        <x:v>121</x:v>
      </x:c>
      <x:c r="E33" s="73" t="s">
        <x:v>70</x:v>
      </x:c>
      <x:c r="F33" s="51">
        <x:v>1595</x:v>
      </x:c>
      <x:c r="G33" s="48">
        <x:v>2500</x:v>
      </x:c>
      <x:c r="H33" s="48" t="n">
        <x:f>=SUM(F33:G33)</x:f>
        <x:v>4095</x:v>
      </x:c>
      <x:c r="I33" s="48">
        <x:v>127000</x:v>
      </x:c>
      <x:c r="J33" s="48" t="s">
        <x:v>60</x:v>
      </x:c>
      <x:c r="K33" s="48" t="s">
        <x:v>1</x:v>
      </x:c>
      <x:c r="L33" s="48" t="s">
        <x:v>1</x:v>
      </x:c>
      <x:c r="M33" s="48" t="s">
        <x:v>1</x:v>
      </x:c>
      <x:c r="N33" s="48" t="s">
        <x:v>1</x:v>
      </x:c>
      <x:c r="O33" s="48" t="s">
        <x:v>1</x:v>
      </x:c>
      <x:c r="P33" s="48" t="s">
        <x:v>1</x:v>
      </x:c>
      <x:c r="Q33" s="48" t="s">
        <x:v>1</x:v>
      </x:c>
      <x:c r="R33" s="48" t="s">
        <x:v>1</x:v>
      </x:c>
      <x:c r="S33" s="48" t="s">
        <x:v>1</x:v>
      </x:c>
      <x:c r="T33" s="48" t="s">
        <x:v>1</x:v>
      </x:c>
      <x:c r="U33" s="48" t="s">
        <x:v>1</x:v>
      </x:c>
      <x:c r="V33" s="48" t="s">
        <x:v>1</x:v>
      </x:c>
      <x:c r="W33" s="48" t="s">
        <x:v>1</x:v>
      </x:c>
      <x:c r="X33" s="48" t="s">
        <x:v>1</x:v>
      </x:c>
      <x:c r="Y33" s="48" t="s">
        <x:v>1</x:v>
      </x:c>
      <x:c r="Z33" s="48" t="s">
        <x:v>1</x:v>
      </x:c>
      <x:c r="AA33" s="48" t="s">
        <x:v>1</x:v>
      </x:c>
      <x:c r="AB33" s="48" t="s">
        <x:v>1</x:v>
      </x:c>
      <x:c r="AC33" s="48" t="s">
        <x:v>1</x:v>
      </x:c>
      <x:c r="AD33" s="48" t="s">
        <x:v>1</x:v>
      </x:c>
      <x:c r="AE33" s="48" t="s">
        <x:v>1</x:v>
      </x:c>
    </x:row>
    <x:row r="34" ht="21" customHeight="1">
      <x:c r="A34" s="48" t="s">
        <x:v>1</x:v>
      </x:c>
      <x:c r="B34" s="64" t="s">
        <x:v>28</x:v>
      </x:c>
      <x:c r="C34" s="74" t="s">
        <x:v>75</x:v>
      </x:c>
      <x:c r="D34" s="70" t="s">
        <x:v>122</x:v>
      </x:c>
      <x:c r="E34" s="50" t="s">
        <x:v>70</x:v>
      </x:c>
      <x:c r="F34" s="51">
        <x:v>1140</x:v>
      </x:c>
      <x:c r="G34" s="48">
        <x:v>1000</x:v>
      </x:c>
      <x:c r="H34" s="51">
        <x:v>2140</x:v>
      </x:c>
      <x:c r="I34" s="48" t="s">
        <x:v>123</x:v>
      </x:c>
      <x:c r="J34" s="48">
        <x:v>1500</x:v>
      </x:c>
      <x:c r="K34" s="64">
        <x:v>1</x:v>
      </x:c>
      <x:c r="L34" s="64">
        <x:v>1</x:v>
      </x:c>
      <x:c r="M34" s="48">
        <x:v>3000</x:v>
      </x:c>
      <x:c r="N34" s="48" t="s">
        <x:v>1</x:v>
      </x:c>
      <x:c r="O34" s="48" t="s">
        <x:v>1</x:v>
      </x:c>
      <x:c r="P34" s="48" t="s">
        <x:v>1</x:v>
      </x:c>
      <x:c r="Q34" s="48" t="s">
        <x:v>1</x:v>
      </x:c>
      <x:c r="R34" s="48" t="s">
        <x:v>1</x:v>
      </x:c>
      <x:c r="S34" s="48" t="s">
        <x:v>1</x:v>
      </x:c>
      <x:c r="T34" s="48" t="s">
        <x:v>1</x:v>
      </x:c>
      <x:c r="U34" s="48" t="s">
        <x:v>1</x:v>
      </x:c>
      <x:c r="V34" s="48" t="s">
        <x:v>1</x:v>
      </x:c>
      <x:c r="W34" s="48" t="s">
        <x:v>1</x:v>
      </x:c>
      <x:c r="X34" s="48" t="s">
        <x:v>1</x:v>
      </x:c>
      <x:c r="Y34" s="48" t="s">
        <x:v>1</x:v>
      </x:c>
      <x:c r="Z34" s="48" t="s">
        <x:v>1</x:v>
      </x:c>
      <x:c r="AA34" s="48" t="s">
        <x:v>1</x:v>
      </x:c>
      <x:c r="AB34" s="48" t="s">
        <x:v>1</x:v>
      </x:c>
      <x:c r="AC34" s="48" t="s">
        <x:v>1</x:v>
      </x:c>
      <x:c r="AD34" s="48" t="s">
        <x:v>1</x:v>
      </x:c>
      <x:c r="AE34" s="48" t="s">
        <x:v>1</x:v>
      </x:c>
    </x:row>
    <x:row r="35" ht="21" hidden="1" customHeight="1">
      <x:c r="A35" s="48" t="s">
        <x:v>1</x:v>
      </x:c>
      <x:c r="B35" s="48" t="s">
        <x:v>28</x:v>
      </x:c>
      <x:c r="C35" s="63" t="s">
        <x:v>108</x:v>
      </x:c>
      <x:c r="D35" s="70" t="s">
        <x:v>124</x:v>
      </x:c>
      <x:c r="E35" s="50" t="s">
        <x:v>70</x:v>
      </x:c>
      <x:c r="F35" s="51">
        <x:v>2608</x:v>
      </x:c>
      <x:c r="G35" s="48">
        <x:v>1000</x:v>
      </x:c>
      <x:c r="H35" s="51">
        <x:v>3608</x:v>
      </x:c>
      <x:c r="I35" s="48" t="s">
        <x:v>125</x:v>
      </x:c>
      <x:c r="J35" s="48">
        <x:v>0</x:v>
      </x:c>
      <x:c r="K35" s="48" t="s">
        <x:v>1</x:v>
      </x:c>
      <x:c r="L35" s="48" t="s">
        <x:v>1</x:v>
      </x:c>
      <x:c r="M35" s="48" t="s">
        <x:v>1</x:v>
      </x:c>
      <x:c r="N35" s="48" t="s">
        <x:v>1</x:v>
      </x:c>
      <x:c r="O35" s="48" t="s">
        <x:v>1</x:v>
      </x:c>
      <x:c r="P35" s="48" t="s">
        <x:v>1</x:v>
      </x:c>
      <x:c r="Q35" s="48" t="s">
        <x:v>1</x:v>
      </x:c>
      <x:c r="R35" s="48" t="s">
        <x:v>1</x:v>
      </x:c>
      <x:c r="S35" s="48" t="s">
        <x:v>1</x:v>
      </x:c>
      <x:c r="T35" s="48" t="s">
        <x:v>1</x:v>
      </x:c>
      <x:c r="U35" s="48" t="s">
        <x:v>1</x:v>
      </x:c>
      <x:c r="V35" s="48" t="s">
        <x:v>1</x:v>
      </x:c>
      <x:c r="W35" s="48" t="s">
        <x:v>1</x:v>
      </x:c>
      <x:c r="X35" s="48" t="s">
        <x:v>1</x:v>
      </x:c>
      <x:c r="Y35" s="48" t="s">
        <x:v>1</x:v>
      </x:c>
      <x:c r="Z35" s="48" t="s">
        <x:v>1</x:v>
      </x:c>
      <x:c r="AA35" s="48" t="s">
        <x:v>1</x:v>
      </x:c>
      <x:c r="AB35" s="48" t="s">
        <x:v>1</x:v>
      </x:c>
      <x:c r="AC35" s="48" t="s">
        <x:v>1</x:v>
      </x:c>
      <x:c r="AD35" s="48" t="s">
        <x:v>1</x:v>
      </x:c>
      <x:c r="AE35" s="48" t="s">
        <x:v>1</x:v>
      </x:c>
    </x:row>
    <x:row r="36" ht="21" customHeight="1">
      <x:c r="A36" s="48" t="s">
        <x:v>1</x:v>
      </x:c>
      <x:c r="B36" s="64" t="s">
        <x:v>28</x:v>
      </x:c>
      <x:c r="C36" s="63" t="s">
        <x:v>118</x:v>
      </x:c>
      <x:c r="D36" s="70" t="s">
        <x:v>126</x:v>
      </x:c>
      <x:c r="E36" s="50" t="s">
        <x:v>70</x:v>
      </x:c>
      <x:c r="F36" s="51">
        <x:v>3121</x:v>
      </x:c>
      <x:c r="G36" s="48">
        <x:v>1000</x:v>
      </x:c>
      <x:c r="H36" s="51">
        <x:v>4121</x:v>
      </x:c>
      <x:c r="I36" s="48" t="s">
        <x:v>127</x:v>
      </x:c>
      <x:c r="J36" s="48">
        <x:v>1500</x:v>
      </x:c>
      <x:c r="K36" s="64">
        <x:v>1</x:v>
      </x:c>
      <x:c r="L36" s="64">
        <x:v>1</x:v>
      </x:c>
      <x:c r="M36" s="48" t="s">
        <x:v>1</x:v>
      </x:c>
      <x:c r="N36" s="48" t="s">
        <x:v>1</x:v>
      </x:c>
      <x:c r="O36" s="48" t="s">
        <x:v>1</x:v>
      </x:c>
      <x:c r="P36" s="48" t="s">
        <x:v>1</x:v>
      </x:c>
      <x:c r="Q36" s="48" t="s">
        <x:v>1</x:v>
      </x:c>
      <x:c r="R36" s="48" t="s">
        <x:v>1</x:v>
      </x:c>
      <x:c r="S36" s="48" t="s">
        <x:v>1</x:v>
      </x:c>
      <x:c r="T36" s="48" t="s">
        <x:v>1</x:v>
      </x:c>
      <x:c r="U36" s="48" t="s">
        <x:v>1</x:v>
      </x:c>
      <x:c r="V36" s="48" t="s">
        <x:v>1</x:v>
      </x:c>
      <x:c r="W36" s="48" t="s">
        <x:v>1</x:v>
      </x:c>
      <x:c r="X36" s="48" t="s">
        <x:v>1</x:v>
      </x:c>
      <x:c r="Y36" s="48" t="s">
        <x:v>1</x:v>
      </x:c>
      <x:c r="Z36" s="48" t="s">
        <x:v>1</x:v>
      </x:c>
      <x:c r="AA36" s="48" t="s">
        <x:v>1</x:v>
      </x:c>
      <x:c r="AB36" s="48" t="s">
        <x:v>1</x:v>
      </x:c>
      <x:c r="AC36" s="48" t="s">
        <x:v>1</x:v>
      </x:c>
      <x:c r="AD36" s="48" t="s">
        <x:v>1</x:v>
      </x:c>
      <x:c r="AE36" s="48" t="s">
        <x:v>1</x:v>
      </x:c>
    </x:row>
    <x:row r="37" ht="21" hidden="1" customHeight="1">
      <x:c r="A37" s="48" t="s">
        <x:v>1</x:v>
      </x:c>
      <x:c r="B37" s="48" t="s">
        <x:v>28</x:v>
      </x:c>
      <x:c r="C37" s="51" t="s">
        <x:v>128</x:v>
      </x:c>
      <x:c r="D37" s="75" t="s">
        <x:v>129</x:v>
      </x:c>
      <x:c r="E37" s="50" t="s">
        <x:v>59</x:v>
      </x:c>
      <x:c r="F37" s="51">
        <x:v>2461</x:v>
      </x:c>
      <x:c r="G37" s="48">
        <x:v>1000</x:v>
      </x:c>
      <x:c r="H37" s="51">
        <x:v>3461</x:v>
      </x:c>
      <x:c r="I37" s="48" t="s">
        <x:v>130</x:v>
      </x:c>
      <x:c r="J37" s="48" t="s">
        <x:v>60</x:v>
      </x:c>
      <x:c r="K37" s="48" t="s">
        <x:v>1</x:v>
      </x:c>
      <x:c r="L37" s="48" t="s">
        <x:v>1</x:v>
      </x:c>
      <x:c r="M37" s="48" t="s">
        <x:v>1</x:v>
      </x:c>
      <x:c r="N37" s="48" t="s">
        <x:v>1</x:v>
      </x:c>
      <x:c r="O37" s="48" t="s">
        <x:v>1</x:v>
      </x:c>
      <x:c r="P37" s="48" t="s">
        <x:v>1</x:v>
      </x:c>
      <x:c r="Q37" s="48" t="s">
        <x:v>1</x:v>
      </x:c>
      <x:c r="R37" s="48" t="s">
        <x:v>1</x:v>
      </x:c>
      <x:c r="S37" s="48" t="s">
        <x:v>1</x:v>
      </x:c>
      <x:c r="T37" s="48" t="s">
        <x:v>1</x:v>
      </x:c>
      <x:c r="U37" s="48" t="s">
        <x:v>1</x:v>
      </x:c>
      <x:c r="V37" s="48" t="s">
        <x:v>1</x:v>
      </x:c>
      <x:c r="W37" s="48" t="s">
        <x:v>1</x:v>
      </x:c>
      <x:c r="X37" s="48" t="s">
        <x:v>1</x:v>
      </x:c>
      <x:c r="Y37" s="48" t="s">
        <x:v>1</x:v>
      </x:c>
      <x:c r="Z37" s="48" t="s">
        <x:v>1</x:v>
      </x:c>
      <x:c r="AA37" s="48" t="s">
        <x:v>1</x:v>
      </x:c>
      <x:c r="AB37" s="48" t="s">
        <x:v>1</x:v>
      </x:c>
      <x:c r="AC37" s="48" t="s">
        <x:v>1</x:v>
      </x:c>
      <x:c r="AD37" s="48" t="s">
        <x:v>1</x:v>
      </x:c>
      <x:c r="AE37" s="48" t="s">
        <x:v>1</x:v>
      </x:c>
    </x:row>
    <x:row r="38" ht="21" hidden="1" customHeight="1">
      <x:c r="A38" s="48" t="s">
        <x:v>1</x:v>
      </x:c>
      <x:c r="B38" s="48" t="s">
        <x:v>32</x:v>
      </x:c>
      <x:c r="C38" s="48" t="s">
        <x:v>131</x:v>
      </x:c>
      <x:c r="D38" s="49" t="s">
        <x:v>132</x:v>
      </x:c>
      <x:c r="E38" s="50" t="s">
        <x:v>59</x:v>
      </x:c>
      <x:c r="F38" s="48">
        <x:v>2215</x:v>
      </x:c>
      <x:c r="G38" s="48" t="s">
        <x:v>60</x:v>
      </x:c>
      <x:c r="H38" s="48">
        <x:v>2215</x:v>
      </x:c>
      <x:c r="I38" s="48">
        <x:v>5000</x:v>
      </x:c>
      <x:c r="J38" s="48" t="s">
        <x:v>60</x:v>
      </x:c>
      <x:c r="K38" s="48" t="s">
        <x:v>1</x:v>
      </x:c>
      <x:c r="L38" s="48" t="s">
        <x:v>1</x:v>
      </x:c>
      <x:c r="M38" s="48" t="s">
        <x:v>97</x:v>
      </x:c>
      <x:c r="N38" s="48" t="s">
        <x:v>1</x:v>
      </x:c>
      <x:c r="O38" s="48" t="s">
        <x:v>1</x:v>
      </x:c>
      <x:c r="P38" s="48" t="s">
        <x:v>1</x:v>
      </x:c>
      <x:c r="Q38" s="48" t="s">
        <x:v>1</x:v>
      </x:c>
      <x:c r="R38" s="48" t="s">
        <x:v>1</x:v>
      </x:c>
      <x:c r="S38" s="48" t="s">
        <x:v>1</x:v>
      </x:c>
      <x:c r="T38" s="48" t="s">
        <x:v>1</x:v>
      </x:c>
      <x:c r="U38" s="48" t="s">
        <x:v>1</x:v>
      </x:c>
      <x:c r="V38" s="48" t="s">
        <x:v>1</x:v>
      </x:c>
      <x:c r="W38" s="48" t="s">
        <x:v>1</x:v>
      </x:c>
      <x:c r="X38" s="48" t="s">
        <x:v>1</x:v>
      </x:c>
      <x:c r="Y38" s="48" t="s">
        <x:v>1</x:v>
      </x:c>
      <x:c r="Z38" s="48" t="s">
        <x:v>1</x:v>
      </x:c>
      <x:c r="AA38" s="48" t="s">
        <x:v>1</x:v>
      </x:c>
      <x:c r="AB38" s="48" t="s">
        <x:v>1</x:v>
      </x:c>
      <x:c r="AC38" s="48" t="s">
        <x:v>1</x:v>
      </x:c>
      <x:c r="AD38" s="48" t="s">
        <x:v>1</x:v>
      </x:c>
      <x:c r="AE38" s="48" t="s">
        <x:v>1</x:v>
      </x:c>
    </x:row>
    <x:row r="39" ht="21" customHeight="1">
      <x:c r="A39" s="48" t="s">
        <x:v>1</x:v>
      </x:c>
      <x:c r="B39" s="64" t="s">
        <x:v>32</x:v>
      </x:c>
      <x:c r="C39" s="48" t="s">
        <x:v>57</x:v>
      </x:c>
      <x:c r="D39" s="49" t="s">
        <x:v>133</x:v>
      </x:c>
      <x:c r="E39" s="50" t="s">
        <x:v>70</x:v>
      </x:c>
      <x:c r="F39" s="48">
        <x:v>2495</x:v>
      </x:c>
      <x:c r="G39" s="48" t="s">
        <x:v>60</x:v>
      </x:c>
      <x:c r="H39" s="48">
        <x:v>2495</x:v>
      </x:c>
      <x:c r="I39" s="48">
        <x:v>5000</x:v>
      </x:c>
      <x:c r="J39" s="76">
        <x:v>1000</x:v>
      </x:c>
      <x:c r="K39" s="64">
        <x:v>1</x:v>
      </x:c>
      <x:c r="L39" s="64">
        <x:v>1</x:v>
      </x:c>
      <x:c r="M39" s="48">
        <x:v>7000</x:v>
      </x:c>
      <x:c r="N39" s="48" t="s">
        <x:v>1</x:v>
      </x:c>
      <x:c r="O39" s="48" t="s">
        <x:v>1</x:v>
      </x:c>
      <x:c r="P39" s="48" t="s">
        <x:v>1</x:v>
      </x:c>
      <x:c r="Q39" s="48" t="s">
        <x:v>1</x:v>
      </x:c>
      <x:c r="R39" s="48" t="s">
        <x:v>1</x:v>
      </x:c>
      <x:c r="S39" s="48" t="s">
        <x:v>1</x:v>
      </x:c>
      <x:c r="T39" s="48" t="s">
        <x:v>1</x:v>
      </x:c>
      <x:c r="U39" s="48" t="s">
        <x:v>1</x:v>
      </x:c>
      <x:c r="V39" s="48" t="s">
        <x:v>1</x:v>
      </x:c>
      <x:c r="W39" s="48" t="s">
        <x:v>1</x:v>
      </x:c>
      <x:c r="X39" s="48" t="s">
        <x:v>1</x:v>
      </x:c>
      <x:c r="Y39" s="48" t="s">
        <x:v>1</x:v>
      </x:c>
      <x:c r="Z39" s="48" t="s">
        <x:v>1</x:v>
      </x:c>
      <x:c r="AA39" s="48" t="s">
        <x:v>1</x:v>
      </x:c>
      <x:c r="AB39" s="48" t="s">
        <x:v>1</x:v>
      </x:c>
      <x:c r="AC39" s="48" t="s">
        <x:v>1</x:v>
      </x:c>
      <x:c r="AD39" s="48" t="s">
        <x:v>1</x:v>
      </x:c>
      <x:c r="AE39" s="48" t="s">
        <x:v>1</x:v>
      </x:c>
    </x:row>
    <x:row r="40" ht="21" customHeight="1">
      <x:c r="A40" s="48" t="s">
        <x:v>1</x:v>
      </x:c>
      <x:c r="B40" s="64" t="s">
        <x:v>32</x:v>
      </x:c>
      <x:c r="C40" s="48" t="s">
        <x:v>134</x:v>
      </x:c>
      <x:c r="D40" s="49" t="s">
        <x:v>135</x:v>
      </x:c>
      <x:c r="E40" s="50" t="s">
        <x:v>70</x:v>
      </x:c>
      <x:c r="F40" s="48">
        <x:v>2264</x:v>
      </x:c>
      <x:c r="G40" s="48">
        <x:v>0</x:v>
      </x:c>
      <x:c r="H40" s="48">
        <x:v>2264</x:v>
      </x:c>
      <x:c r="I40" s="48">
        <x:v>5000</x:v>
      </x:c>
      <x:c r="J40" s="76">
        <x:v>2000</x:v>
      </x:c>
      <x:c r="K40" s="64">
        <x:v>1</x:v>
      </x:c>
      <x:c r="L40" s="64">
        <x:v>1</x:v>
      </x:c>
      <x:c r="M40" s="48" t="s">
        <x:v>1</x:v>
      </x:c>
      <x:c r="N40" s="48" t="s">
        <x:v>1</x:v>
      </x:c>
      <x:c r="O40" s="48" t="s">
        <x:v>1</x:v>
      </x:c>
      <x:c r="P40" s="48" t="s">
        <x:v>1</x:v>
      </x:c>
      <x:c r="Q40" s="48" t="s">
        <x:v>1</x:v>
      </x:c>
      <x:c r="R40" s="48" t="s">
        <x:v>1</x:v>
      </x:c>
      <x:c r="S40" s="48" t="s">
        <x:v>1</x:v>
      </x:c>
      <x:c r="T40" s="48" t="s">
        <x:v>1</x:v>
      </x:c>
      <x:c r="U40" s="48" t="s">
        <x:v>1</x:v>
      </x:c>
      <x:c r="V40" s="48" t="s">
        <x:v>1</x:v>
      </x:c>
      <x:c r="W40" s="48" t="s">
        <x:v>1</x:v>
      </x:c>
      <x:c r="X40" s="48" t="s">
        <x:v>1</x:v>
      </x:c>
      <x:c r="Y40" s="48" t="s">
        <x:v>1</x:v>
      </x:c>
      <x:c r="Z40" s="48" t="s">
        <x:v>1</x:v>
      </x:c>
      <x:c r="AA40" s="48" t="s">
        <x:v>1</x:v>
      </x:c>
      <x:c r="AB40" s="48" t="s">
        <x:v>1</x:v>
      </x:c>
      <x:c r="AC40" s="48" t="s">
        <x:v>1</x:v>
      </x:c>
      <x:c r="AD40" s="48" t="s">
        <x:v>1</x:v>
      </x:c>
      <x:c r="AE40" s="48" t="s">
        <x:v>1</x:v>
      </x:c>
    </x:row>
    <x:row r="41" ht="21" hidden="1" customHeight="1">
      <x:c r="A41" s="48" t="s">
        <x:v>1</x:v>
      </x:c>
      <x:c r="B41" s="48" t="s">
        <x:v>32</x:v>
      </x:c>
      <x:c r="C41" s="48" t="s">
        <x:v>136</x:v>
      </x:c>
      <x:c r="D41" s="48" t="s">
        <x:v>87</x:v>
      </x:c>
      <x:c r="E41" s="73" t="s">
        <x:v>70</x:v>
      </x:c>
      <x:c r="F41" s="48">
        <x:v>2000</x:v>
      </x:c>
      <x:c r="G41" s="48">
        <x:v>0</x:v>
      </x:c>
      <x:c r="H41" s="48">
        <x:v>2033</x:v>
      </x:c>
      <x:c r="I41" s="48">
        <x:v>100000</x:v>
      </x:c>
      <x:c r="J41" s="48">
        <x:v>0</x:v>
      </x:c>
      <x:c r="K41" s="48" t="s">
        <x:v>1</x:v>
      </x:c>
      <x:c r="L41" s="48" t="s">
        <x:v>1</x:v>
      </x:c>
      <x:c r="M41" s="48" t="s">
        <x:v>1</x:v>
      </x:c>
      <x:c r="N41" s="48" t="s">
        <x:v>1</x:v>
      </x:c>
      <x:c r="O41" s="48" t="s">
        <x:v>1</x:v>
      </x:c>
      <x:c r="P41" s="48" t="s">
        <x:v>1</x:v>
      </x:c>
      <x:c r="Q41" s="48" t="s">
        <x:v>1</x:v>
      </x:c>
      <x:c r="R41" s="48" t="s">
        <x:v>1</x:v>
      </x:c>
      <x:c r="S41" s="48" t="s">
        <x:v>1</x:v>
      </x:c>
      <x:c r="T41" s="48" t="s">
        <x:v>1</x:v>
      </x:c>
      <x:c r="U41" s="48" t="s">
        <x:v>1</x:v>
      </x:c>
      <x:c r="V41" s="48" t="s">
        <x:v>1</x:v>
      </x:c>
      <x:c r="W41" s="48" t="s">
        <x:v>1</x:v>
      </x:c>
      <x:c r="X41" s="48" t="s">
        <x:v>1</x:v>
      </x:c>
      <x:c r="Y41" s="48" t="s">
        <x:v>1</x:v>
      </x:c>
      <x:c r="Z41" s="48" t="s">
        <x:v>1</x:v>
      </x:c>
      <x:c r="AA41" s="48" t="s">
        <x:v>1</x:v>
      </x:c>
      <x:c r="AB41" s="48" t="s">
        <x:v>1</x:v>
      </x:c>
      <x:c r="AC41" s="48" t="s">
        <x:v>1</x:v>
      </x:c>
      <x:c r="AD41" s="48" t="s">
        <x:v>1</x:v>
      </x:c>
      <x:c r="AE41" s="48" t="s">
        <x:v>1</x:v>
      </x:c>
    </x:row>
    <x:row r="42" ht="21" hidden="1" customHeight="1">
      <x:c r="A42" s="48" t="s">
        <x:v>1</x:v>
      </x:c>
      <x:c r="B42" s="48" t="s">
        <x:v>32</x:v>
      </x:c>
      <x:c r="C42" s="48" t="s">
        <x:v>137</x:v>
      </x:c>
      <x:c r="D42" s="77" t="s">
        <x:v>138</x:v>
      </x:c>
      <x:c r="E42" s="73" t="s">
        <x:v>70</x:v>
      </x:c>
      <x:c r="F42" s="48">
        <x:v>900</x:v>
      </x:c>
      <x:c r="G42" s="51">
        <x:v>2000</x:v>
      </x:c>
      <x:c r="H42" s="48">
        <x:v>2033</x:v>
      </x:c>
      <x:c r="I42" s="48">
        <x:v>120000</x:v>
      </x:c>
      <x:c r="J42" s="48" t="s">
        <x:v>60</x:v>
      </x:c>
      <x:c r="K42" s="48" t="s">
        <x:v>1</x:v>
      </x:c>
      <x:c r="L42" s="48" t="s">
        <x:v>1</x:v>
      </x:c>
      <x:c r="M42" s="48" t="s">
        <x:v>1</x:v>
      </x:c>
      <x:c r="N42" s="48" t="s">
        <x:v>1</x:v>
      </x:c>
      <x:c r="O42" s="48" t="s">
        <x:v>1</x:v>
      </x:c>
      <x:c r="P42" s="48" t="s">
        <x:v>1</x:v>
      </x:c>
      <x:c r="Q42" s="48" t="s">
        <x:v>1</x:v>
      </x:c>
      <x:c r="R42" s="48" t="s">
        <x:v>1</x:v>
      </x:c>
      <x:c r="S42" s="48" t="s">
        <x:v>1</x:v>
      </x:c>
      <x:c r="T42" s="48" t="s">
        <x:v>1</x:v>
      </x:c>
      <x:c r="U42" s="48" t="s">
        <x:v>1</x:v>
      </x:c>
      <x:c r="V42" s="48" t="s">
        <x:v>1</x:v>
      </x:c>
      <x:c r="W42" s="48" t="s">
        <x:v>1</x:v>
      </x:c>
      <x:c r="X42" s="48" t="s">
        <x:v>1</x:v>
      </x:c>
      <x:c r="Y42" s="48" t="s">
        <x:v>1</x:v>
      </x:c>
      <x:c r="Z42" s="48" t="s">
        <x:v>1</x:v>
      </x:c>
      <x:c r="AA42" s="48" t="s">
        <x:v>1</x:v>
      </x:c>
      <x:c r="AB42" s="48" t="s">
        <x:v>1</x:v>
      </x:c>
      <x:c r="AC42" s="48" t="s">
        <x:v>1</x:v>
      </x:c>
      <x:c r="AD42" s="48" t="s">
        <x:v>1</x:v>
      </x:c>
      <x:c r="AE42" s="48" t="s">
        <x:v>1</x:v>
      </x:c>
    </x:row>
    <x:row r="43" ht="21" customHeight="1">
      <x:c r="A43" s="48" t="s">
        <x:v>1</x:v>
      </x:c>
      <x:c r="B43" s="76" t="s">
        <x:v>32</x:v>
      </x:c>
      <x:c r="C43" s="48" t="s">
        <x:v>139</x:v>
      </x:c>
      <x:c r="D43" s="48" t="s">
        <x:v>140</x:v>
      </x:c>
      <x:c r="E43" s="50" t="s">
        <x:v>70</x:v>
      </x:c>
      <x:c r="F43" s="48">
        <x:v>1620</x:v>
      </x:c>
      <x:c r="G43" s="48">
        <x:v>0</x:v>
      </x:c>
      <x:c r="H43" s="48">
        <x:v>2033</x:v>
      </x:c>
      <x:c r="I43" s="48">
        <x:v>5000</x:v>
      </x:c>
      <x:c r="J43" s="76">
        <x:v>2000</x:v>
      </x:c>
      <x:c r="K43" s="76">
        <x:v>1</x:v>
      </x:c>
      <x:c r="L43" s="64">
        <x:v>1</x:v>
      </x:c>
      <x:c r="M43" s="48" t="s">
        <x:v>1</x:v>
      </x:c>
      <x:c r="N43" s="48" t="s">
        <x:v>1</x:v>
      </x:c>
      <x:c r="O43" s="48" t="s">
        <x:v>1</x:v>
      </x:c>
      <x:c r="P43" s="48" t="s">
        <x:v>1</x:v>
      </x:c>
      <x:c r="Q43" s="48" t="s">
        <x:v>1</x:v>
      </x:c>
      <x:c r="R43" s="48" t="s">
        <x:v>1</x:v>
      </x:c>
      <x:c r="S43" s="48" t="s">
        <x:v>1</x:v>
      </x:c>
      <x:c r="T43" s="48" t="s">
        <x:v>1</x:v>
      </x:c>
      <x:c r="U43" s="48" t="s">
        <x:v>1</x:v>
      </x:c>
      <x:c r="V43" s="48" t="s">
        <x:v>1</x:v>
      </x:c>
      <x:c r="W43" s="48" t="s">
        <x:v>1</x:v>
      </x:c>
      <x:c r="X43" s="48" t="s">
        <x:v>1</x:v>
      </x:c>
      <x:c r="Y43" s="48" t="s">
        <x:v>1</x:v>
      </x:c>
      <x:c r="Z43" s="48" t="s">
        <x:v>1</x:v>
      </x:c>
      <x:c r="AA43" s="48" t="s">
        <x:v>1</x:v>
      </x:c>
      <x:c r="AB43" s="48" t="s">
        <x:v>1</x:v>
      </x:c>
      <x:c r="AC43" s="48" t="s">
        <x:v>1</x:v>
      </x:c>
      <x:c r="AD43" s="48" t="s">
        <x:v>1</x:v>
      </x:c>
      <x:c r="AE43" s="48" t="s">
        <x:v>1</x:v>
      </x:c>
    </x:row>
    <x:row r="44" ht="21" customHeight="1">
      <x:c r="A44" s="48" t="s">
        <x:v>1</x:v>
      </x:c>
      <x:c r="B44" s="48" t="s">
        <x:v>1</x:v>
      </x:c>
      <x:c r="C44" s="48" t="s">
        <x:v>1</x:v>
      </x:c>
      <x:c r="D44" s="48" t="s">
        <x:v>1</x:v>
      </x:c>
      <x:c r="E44" s="50" t="s">
        <x:v>1</x:v>
      </x:c>
      <x:c r="F44" s="48" t="s">
        <x:v>1</x:v>
      </x:c>
      <x:c r="G44" s="48" t="s">
        <x:v>1</x:v>
      </x:c>
      <x:c r="H44" s="48" t="s">
        <x:v>1</x:v>
      </x:c>
      <x:c r="I44" s="48" t="s">
        <x:v>1</x:v>
      </x:c>
      <x:c r="J44" s="48" t="s">
        <x:v>1</x:v>
      </x:c>
      <x:c r="K44" s="48" t="s">
        <x:v>1</x:v>
      </x:c>
      <x:c r="L44" s="48" t="s">
        <x:v>1</x:v>
      </x:c>
      <x:c r="M44" s="48" t="s">
        <x:v>1</x:v>
      </x:c>
      <x:c r="N44" s="48" t="s">
        <x:v>1</x:v>
      </x:c>
      <x:c r="O44" s="48" t="s">
        <x:v>1</x:v>
      </x:c>
      <x:c r="P44" s="48" t="s">
        <x:v>1</x:v>
      </x:c>
      <x:c r="Q44" s="48" t="s">
        <x:v>1</x:v>
      </x:c>
      <x:c r="R44" s="48" t="s">
        <x:v>1</x:v>
      </x:c>
      <x:c r="S44" s="48" t="s">
        <x:v>1</x:v>
      </x:c>
      <x:c r="T44" s="48" t="s">
        <x:v>1</x:v>
      </x:c>
      <x:c r="U44" s="48" t="s">
        <x:v>1</x:v>
      </x:c>
      <x:c r="V44" s="48" t="s">
        <x:v>1</x:v>
      </x:c>
      <x:c r="W44" s="48" t="s">
        <x:v>1</x:v>
      </x:c>
      <x:c r="X44" s="48" t="s">
        <x:v>1</x:v>
      </x:c>
      <x:c r="Y44" s="48" t="s">
        <x:v>1</x:v>
      </x:c>
      <x:c r="Z44" s="48" t="s">
        <x:v>1</x:v>
      </x:c>
      <x:c r="AA44" s="48" t="s">
        <x:v>1</x:v>
      </x:c>
      <x:c r="AB44" s="48" t="s">
        <x:v>1</x:v>
      </x:c>
      <x:c r="AC44" s="48" t="s">
        <x:v>1</x:v>
      </x:c>
      <x:c r="AD44" s="48" t="s">
        <x:v>1</x:v>
      </x:c>
      <x:c r="AE44" s="48" t="s">
        <x:v>1</x:v>
      </x:c>
    </x:row>
    <x:row r="45" ht="21" customHeight="1">
      <x:c r="A45" s="48" t="s">
        <x:v>1</x:v>
      </x:c>
      <x:c r="B45" s="48" t="s">
        <x:v>1</x:v>
      </x:c>
      <x:c r="C45" s="48" t="s">
        <x:v>1</x:v>
      </x:c>
      <x:c r="D45" s="48" t="s">
        <x:v>1</x:v>
      </x:c>
      <x:c r="E45" s="50" t="s">
        <x:v>1</x:v>
      </x:c>
      <x:c r="F45" s="48" t="s">
        <x:v>1</x:v>
      </x:c>
      <x:c r="G45" s="48" t="s">
        <x:v>1</x:v>
      </x:c>
      <x:c r="H45" s="48" t="s">
        <x:v>1</x:v>
      </x:c>
      <x:c r="I45" s="48" t="s">
        <x:v>1</x:v>
      </x:c>
      <x:c r="J45" s="48" t="s">
        <x:v>1</x:v>
      </x:c>
      <x:c r="K45" s="48" t="s">
        <x:v>1</x:v>
      </x:c>
      <x:c r="L45" s="48" t="s">
        <x:v>1</x:v>
      </x:c>
      <x:c r="M45" s="48" t="s">
        <x:v>1</x:v>
      </x:c>
      <x:c r="N45" s="48" t="s">
        <x:v>1</x:v>
      </x:c>
      <x:c r="O45" s="48" t="s">
        <x:v>1</x:v>
      </x:c>
      <x:c r="P45" s="48" t="s">
        <x:v>1</x:v>
      </x:c>
      <x:c r="Q45" s="48" t="s">
        <x:v>1</x:v>
      </x:c>
      <x:c r="R45" s="48" t="s">
        <x:v>1</x:v>
      </x:c>
      <x:c r="S45" s="48" t="s">
        <x:v>1</x:v>
      </x:c>
      <x:c r="T45" s="48" t="s">
        <x:v>1</x:v>
      </x:c>
      <x:c r="U45" s="48" t="s">
        <x:v>1</x:v>
      </x:c>
      <x:c r="V45" s="48" t="s">
        <x:v>1</x:v>
      </x:c>
      <x:c r="W45" s="48" t="s">
        <x:v>1</x:v>
      </x:c>
      <x:c r="X45" s="48" t="s">
        <x:v>1</x:v>
      </x:c>
      <x:c r="Y45" s="48" t="s">
        <x:v>1</x:v>
      </x:c>
      <x:c r="Z45" s="48" t="s">
        <x:v>1</x:v>
      </x:c>
      <x:c r="AA45" s="48" t="s">
        <x:v>1</x:v>
      </x:c>
      <x:c r="AB45" s="48" t="s">
        <x:v>1</x:v>
      </x:c>
      <x:c r="AC45" s="48" t="s">
        <x:v>1</x:v>
      </x:c>
      <x:c r="AD45" s="48" t="s">
        <x:v>1</x:v>
      </x:c>
      <x:c r="AE45" s="48" t="s">
        <x:v>1</x:v>
      </x:c>
    </x:row>
    <x:row r="46" ht="21" customHeight="1">
      <x:c r="A46" s="48" t="s">
        <x:v>1</x:v>
      </x:c>
      <x:c r="B46" s="48" t="s">
        <x:v>1</x:v>
      </x:c>
      <x:c r="C46" s="48" t="s">
        <x:v>1</x:v>
      </x:c>
      <x:c r="D46" s="48" t="s">
        <x:v>1</x:v>
      </x:c>
      <x:c r="E46" s="50" t="s">
        <x:v>1</x:v>
      </x:c>
      <x:c r="F46" s="48" t="s">
        <x:v>1</x:v>
      </x:c>
      <x:c r="G46" s="48" t="s">
        <x:v>1</x:v>
      </x:c>
      <x:c r="H46" s="48" t="s">
        <x:v>1</x:v>
      </x:c>
      <x:c r="I46" s="48" t="s">
        <x:v>1</x:v>
      </x:c>
      <x:c r="J46" s="48" t="s">
        <x:v>1</x:v>
      </x:c>
      <x:c r="K46" s="48" t="s">
        <x:v>1</x:v>
      </x:c>
      <x:c r="L46" s="48" t="s">
        <x:v>1</x:v>
      </x:c>
      <x:c r="M46" s="48" t="s">
        <x:v>1</x:v>
      </x:c>
      <x:c r="N46" s="48" t="s">
        <x:v>1</x:v>
      </x:c>
      <x:c r="O46" s="48" t="s">
        <x:v>1</x:v>
      </x:c>
      <x:c r="P46" s="48" t="s">
        <x:v>1</x:v>
      </x:c>
      <x:c r="Q46" s="48" t="s">
        <x:v>1</x:v>
      </x:c>
      <x:c r="R46" s="48" t="s">
        <x:v>1</x:v>
      </x:c>
      <x:c r="S46" s="48" t="s">
        <x:v>1</x:v>
      </x:c>
      <x:c r="T46" s="48" t="s">
        <x:v>1</x:v>
      </x:c>
      <x:c r="U46" s="48" t="s">
        <x:v>1</x:v>
      </x:c>
      <x:c r="V46" s="48" t="s">
        <x:v>1</x:v>
      </x:c>
      <x:c r="W46" s="48" t="s">
        <x:v>1</x:v>
      </x:c>
      <x:c r="X46" s="48" t="s">
        <x:v>1</x:v>
      </x:c>
      <x:c r="Y46" s="48" t="s">
        <x:v>1</x:v>
      </x:c>
      <x:c r="Z46" s="48" t="s">
        <x:v>1</x:v>
      </x:c>
      <x:c r="AA46" s="48" t="s">
        <x:v>1</x:v>
      </x:c>
      <x:c r="AB46" s="48" t="s">
        <x:v>1</x:v>
      </x:c>
      <x:c r="AC46" s="48" t="s">
        <x:v>1</x:v>
      </x:c>
      <x:c r="AD46" s="48" t="s">
        <x:v>1</x:v>
      </x:c>
      <x:c r="AE46" s="48" t="s">
        <x:v>1</x:v>
      </x:c>
    </x:row>
    <x:row r="47" ht="21" customHeight="1">
      <x:c r="A47" s="48" t="s">
        <x:v>1</x:v>
      </x:c>
      <x:c r="B47" s="48" t="s">
        <x:v>1</x:v>
      </x:c>
      <x:c r="C47" s="48" t="s">
        <x:v>1</x:v>
      </x:c>
      <x:c r="D47" s="48" t="s">
        <x:v>1</x:v>
      </x:c>
      <x:c r="E47" s="50" t="s">
        <x:v>1</x:v>
      </x:c>
      <x:c r="F47" s="48" t="s">
        <x:v>1</x:v>
      </x:c>
      <x:c r="G47" s="48" t="s">
        <x:v>1</x:v>
      </x:c>
      <x:c r="H47" s="48" t="s">
        <x:v>1</x:v>
      </x:c>
      <x:c r="I47" s="48" t="s">
        <x:v>1</x:v>
      </x:c>
      <x:c r="J47" s="48" t="s">
        <x:v>1</x:v>
      </x:c>
      <x:c r="K47" s="48" t="s">
        <x:v>1</x:v>
      </x:c>
      <x:c r="L47" s="48" t="s">
        <x:v>1</x:v>
      </x:c>
      <x:c r="M47" s="48" t="s">
        <x:v>1</x:v>
      </x:c>
      <x:c r="N47" s="48" t="s">
        <x:v>1</x:v>
      </x:c>
      <x:c r="O47" s="48" t="s">
        <x:v>1</x:v>
      </x:c>
      <x:c r="P47" s="48" t="s">
        <x:v>1</x:v>
      </x:c>
      <x:c r="Q47" s="48" t="s">
        <x:v>1</x:v>
      </x:c>
      <x:c r="R47" s="48" t="s">
        <x:v>1</x:v>
      </x:c>
      <x:c r="S47" s="48" t="s">
        <x:v>1</x:v>
      </x:c>
      <x:c r="T47" s="48" t="s">
        <x:v>1</x:v>
      </x:c>
      <x:c r="U47" s="48" t="s">
        <x:v>1</x:v>
      </x:c>
      <x:c r="V47" s="48" t="s">
        <x:v>1</x:v>
      </x:c>
      <x:c r="W47" s="48" t="s">
        <x:v>1</x:v>
      </x:c>
      <x:c r="X47" s="48" t="s">
        <x:v>1</x:v>
      </x:c>
      <x:c r="Y47" s="48" t="s">
        <x:v>1</x:v>
      </x:c>
      <x:c r="Z47" s="48" t="s">
        <x:v>1</x:v>
      </x:c>
      <x:c r="AA47" s="48" t="s">
        <x:v>1</x:v>
      </x:c>
      <x:c r="AB47" s="48" t="s">
        <x:v>1</x:v>
      </x:c>
      <x:c r="AC47" s="48" t="s">
        <x:v>1</x:v>
      </x:c>
      <x:c r="AD47" s="48" t="s">
        <x:v>1</x:v>
      </x:c>
      <x:c r="AE47" s="48" t="s">
        <x:v>1</x:v>
      </x:c>
    </x:row>
    <x:row r="48" ht="21" customHeight="1">
      <x:c r="A48" s="48" t="s">
        <x:v>1</x:v>
      </x:c>
      <x:c r="B48" s="48" t="s">
        <x:v>1</x:v>
      </x:c>
      <x:c r="C48" s="48" t="s">
        <x:v>1</x:v>
      </x:c>
      <x:c r="D48" s="48" t="s">
        <x:v>1</x:v>
      </x:c>
      <x:c r="E48" s="50" t="s">
        <x:v>1</x:v>
      </x:c>
      <x:c r="F48" s="48" t="s">
        <x:v>1</x:v>
      </x:c>
      <x:c r="G48" s="48" t="s">
        <x:v>1</x:v>
      </x:c>
      <x:c r="H48" s="48" t="s">
        <x:v>1</x:v>
      </x:c>
      <x:c r="I48" s="48" t="s">
        <x:v>1</x:v>
      </x:c>
      <x:c r="J48" s="48" t="s">
        <x:v>1</x:v>
      </x:c>
      <x:c r="K48" s="48" t="s">
        <x:v>1</x:v>
      </x:c>
      <x:c r="L48" s="48" t="s">
        <x:v>1</x:v>
      </x:c>
      <x:c r="M48" s="48" t="s">
        <x:v>1</x:v>
      </x:c>
      <x:c r="N48" s="48" t="s">
        <x:v>1</x:v>
      </x:c>
      <x:c r="O48" s="48" t="s">
        <x:v>1</x:v>
      </x:c>
      <x:c r="P48" s="48" t="s">
        <x:v>1</x:v>
      </x:c>
      <x:c r="Q48" s="48" t="s">
        <x:v>1</x:v>
      </x:c>
      <x:c r="R48" s="48" t="s">
        <x:v>1</x:v>
      </x:c>
      <x:c r="S48" s="48" t="s">
        <x:v>1</x:v>
      </x:c>
      <x:c r="T48" s="48" t="s">
        <x:v>1</x:v>
      </x:c>
      <x:c r="U48" s="48" t="s">
        <x:v>1</x:v>
      </x:c>
      <x:c r="V48" s="48" t="s">
        <x:v>1</x:v>
      </x:c>
      <x:c r="W48" s="48" t="s">
        <x:v>1</x:v>
      </x:c>
      <x:c r="X48" s="48" t="s">
        <x:v>1</x:v>
      </x:c>
      <x:c r="Y48" s="48" t="s">
        <x:v>1</x:v>
      </x:c>
      <x:c r="Z48" s="48" t="s">
        <x:v>1</x:v>
      </x:c>
      <x:c r="AA48" s="48" t="s">
        <x:v>1</x:v>
      </x:c>
      <x:c r="AB48" s="48" t="s">
        <x:v>1</x:v>
      </x:c>
      <x:c r="AC48" s="48" t="s">
        <x:v>1</x:v>
      </x:c>
      <x:c r="AD48" s="48" t="s">
        <x:v>1</x:v>
      </x:c>
      <x:c r="AE48" s="48" t="s">
        <x:v>1</x:v>
      </x:c>
    </x:row>
    <x:row r="49" ht="21" customHeight="1">
      <x:c r="A49" s="48" t="s">
        <x:v>1</x:v>
      </x:c>
      <x:c r="C49" s="48" t="s">
        <x:v>1</x:v>
      </x:c>
      <x:c r="D49" s="48" t="s">
        <x:v>1</x:v>
      </x:c>
      <x:c r="E49" s="50" t="s">
        <x:v>1</x:v>
      </x:c>
      <x:c r="F49" s="48" t="s">
        <x:v>1</x:v>
      </x:c>
      <x:c r="G49" s="48" t="s">
        <x:v>1</x:v>
      </x:c>
      <x:c r="H49" s="48" t="s">
        <x:v>1</x:v>
      </x:c>
      <x:c r="I49" s="48" t="s">
        <x:v>1</x:v>
      </x:c>
      <x:c r="J49" s="48" t="s">
        <x:v>1</x:v>
      </x:c>
      <x:c r="K49" s="48" t="s">
        <x:v>1</x:v>
      </x:c>
      <x:c r="L49" s="48" t="s">
        <x:v>1</x:v>
      </x:c>
      <x:c r="M49" s="48" t="s">
        <x:v>1</x:v>
      </x:c>
      <x:c r="N49" s="48" t="s">
        <x:v>1</x:v>
      </x:c>
      <x:c r="O49" s="48" t="s">
        <x:v>1</x:v>
      </x:c>
      <x:c r="P49" s="48" t="s">
        <x:v>1</x:v>
      </x:c>
      <x:c r="Q49" s="48" t="s">
        <x:v>1</x:v>
      </x:c>
      <x:c r="R49" s="48" t="s">
        <x:v>1</x:v>
      </x:c>
      <x:c r="S49" s="48" t="s">
        <x:v>1</x:v>
      </x:c>
      <x:c r="T49" s="48" t="s">
        <x:v>1</x:v>
      </x:c>
      <x:c r="U49" s="48" t="s">
        <x:v>1</x:v>
      </x:c>
      <x:c r="V49" s="48" t="s">
        <x:v>1</x:v>
      </x:c>
      <x:c r="W49" s="48" t="s">
        <x:v>1</x:v>
      </x:c>
      <x:c r="X49" s="48" t="s">
        <x:v>1</x:v>
      </x:c>
      <x:c r="Y49" s="48" t="s">
        <x:v>1</x:v>
      </x:c>
      <x:c r="Z49" s="48" t="s">
        <x:v>1</x:v>
      </x:c>
      <x:c r="AA49" s="48" t="s">
        <x:v>1</x:v>
      </x:c>
      <x:c r="AB49" s="48" t="s">
        <x:v>1</x:v>
      </x:c>
      <x:c r="AC49" s="48" t="s">
        <x:v>1</x:v>
      </x:c>
      <x:c r="AD49" s="48" t="s">
        <x:v>1</x:v>
      </x:c>
      <x:c r="AE49" s="48" t="s">
        <x:v>1</x:v>
      </x:c>
    </x:row>
    <x:row r="50" ht="21" customHeight="1">
      <x:c r="A50" s="48" t="s">
        <x:v>1</x:v>
      </x:c>
      <x:c r="B50" s="48" t="s">
        <x:v>1</x:v>
      </x:c>
      <x:c r="C50" s="48" t="s">
        <x:v>1</x:v>
      </x:c>
      <x:c r="D50" s="48" t="s">
        <x:v>1</x:v>
      </x:c>
      <x:c r="E50" s="50" t="s">
        <x:v>1</x:v>
      </x:c>
      <x:c r="F50" s="48" t="s">
        <x:v>1</x:v>
      </x:c>
      <x:c r="G50" s="48" t="s">
        <x:v>1</x:v>
      </x:c>
      <x:c r="H50" s="48" t="s">
        <x:v>1</x:v>
      </x:c>
      <x:c r="I50" s="48" t="s">
        <x:v>1</x:v>
      </x:c>
      <x:c r="J50" s="48" t="s">
        <x:v>1</x:v>
      </x:c>
      <x:c r="K50" s="48" t="s">
        <x:v>1</x:v>
      </x:c>
      <x:c r="L50" s="48" t="s">
        <x:v>1</x:v>
      </x:c>
      <x:c r="M50" s="48" t="s">
        <x:v>1</x:v>
      </x:c>
      <x:c r="N50" s="48" t="s">
        <x:v>1</x:v>
      </x:c>
      <x:c r="O50" s="48" t="s">
        <x:v>1</x:v>
      </x:c>
      <x:c r="P50" s="48" t="s">
        <x:v>1</x:v>
      </x:c>
      <x:c r="Q50" s="48" t="s">
        <x:v>1</x:v>
      </x:c>
      <x:c r="R50" s="48" t="s">
        <x:v>1</x:v>
      </x:c>
      <x:c r="S50" s="48" t="s">
        <x:v>1</x:v>
      </x:c>
      <x:c r="T50" s="48" t="s">
        <x:v>1</x:v>
      </x:c>
      <x:c r="U50" s="48" t="s">
        <x:v>1</x:v>
      </x:c>
      <x:c r="V50" s="48" t="s">
        <x:v>1</x:v>
      </x:c>
      <x:c r="W50" s="48" t="s">
        <x:v>1</x:v>
      </x:c>
      <x:c r="X50" s="48" t="s">
        <x:v>1</x:v>
      </x:c>
      <x:c r="Y50" s="48" t="s">
        <x:v>1</x:v>
      </x:c>
      <x:c r="Z50" s="48" t="s">
        <x:v>1</x:v>
      </x:c>
      <x:c r="AA50" s="48" t="s">
        <x:v>1</x:v>
      </x:c>
      <x:c r="AB50" s="48" t="s">
        <x:v>1</x:v>
      </x:c>
      <x:c r="AC50" s="48" t="s">
        <x:v>1</x:v>
      </x:c>
      <x:c r="AD50" s="48" t="s">
        <x:v>1</x:v>
      </x:c>
      <x:c r="AE50" s="48" t="s">
        <x:v>1</x:v>
      </x:c>
    </x:row>
    <x:row r="51" ht="21" customHeight="1">
      <x:c r="A51" s="48" t="s">
        <x:v>1</x:v>
      </x:c>
      <x:c r="B51" s="48" t="s">
        <x:v>1</x:v>
      </x:c>
      <x:c r="C51" s="48" t="s">
        <x:v>1</x:v>
      </x:c>
      <x:c r="D51" s="48" t="s">
        <x:v>1</x:v>
      </x:c>
      <x:c r="E51" s="50" t="s">
        <x:v>1</x:v>
      </x:c>
      <x:c r="F51" s="48" t="s">
        <x:v>1</x:v>
      </x:c>
      <x:c r="G51" s="48" t="s">
        <x:v>1</x:v>
      </x:c>
      <x:c r="H51" s="48" t="s">
        <x:v>1</x:v>
      </x:c>
      <x:c r="I51" s="48" t="s">
        <x:v>1</x:v>
      </x:c>
      <x:c r="J51" s="48" t="s">
        <x:v>1</x:v>
      </x:c>
      <x:c r="K51" s="48" t="s">
        <x:v>1</x:v>
      </x:c>
      <x:c r="L51" s="48" t="s">
        <x:v>1</x:v>
      </x:c>
      <x:c r="M51" s="48" t="s">
        <x:v>1</x:v>
      </x:c>
      <x:c r="N51" s="48" t="s">
        <x:v>1</x:v>
      </x:c>
      <x:c r="O51" s="48" t="s">
        <x:v>1</x:v>
      </x:c>
      <x:c r="P51" s="48" t="s">
        <x:v>1</x:v>
      </x:c>
      <x:c r="Q51" s="48" t="s">
        <x:v>1</x:v>
      </x:c>
      <x:c r="R51" s="48" t="s">
        <x:v>1</x:v>
      </x:c>
      <x:c r="S51" s="48" t="s">
        <x:v>1</x:v>
      </x:c>
      <x:c r="T51" s="48" t="s">
        <x:v>1</x:v>
      </x:c>
      <x:c r="U51" s="48" t="s">
        <x:v>1</x:v>
      </x:c>
      <x:c r="V51" s="48" t="s">
        <x:v>1</x:v>
      </x:c>
      <x:c r="W51" s="48" t="s">
        <x:v>1</x:v>
      </x:c>
      <x:c r="X51" s="48" t="s">
        <x:v>1</x:v>
      </x:c>
      <x:c r="Y51" s="48" t="s">
        <x:v>1</x:v>
      </x:c>
      <x:c r="Z51" s="48" t="s">
        <x:v>1</x:v>
      </x:c>
      <x:c r="AA51" s="48" t="s">
        <x:v>1</x:v>
      </x:c>
      <x:c r="AB51" s="48" t="s">
        <x:v>1</x:v>
      </x:c>
      <x:c r="AC51" s="48" t="s">
        <x:v>1</x:v>
      </x:c>
      <x:c r="AD51" s="48" t="s">
        <x:v>1</x:v>
      </x:c>
      <x:c r="AE51" s="48" t="s">
        <x:v>1</x:v>
      </x:c>
    </x:row>
    <x:row r="52" ht="21" customHeight="1">
      <x:c r="A52" s="48" t="s">
        <x:v>1</x:v>
      </x:c>
      <x:c r="B52" s="48" t="s">
        <x:v>1</x:v>
      </x:c>
      <x:c r="C52" s="48" t="s">
        <x:v>1</x:v>
      </x:c>
      <x:c r="D52" s="48" t="s">
        <x:v>1</x:v>
      </x:c>
      <x:c r="E52" s="50" t="s">
        <x:v>1</x:v>
      </x:c>
      <x:c r="F52" s="48" t="s">
        <x:v>1</x:v>
      </x:c>
      <x:c r="G52" s="48" t="s">
        <x:v>1</x:v>
      </x:c>
      <x:c r="H52" s="48" t="s">
        <x:v>1</x:v>
      </x:c>
      <x:c r="I52" s="48" t="s">
        <x:v>1</x:v>
      </x:c>
      <x:c r="J52" s="48" t="s">
        <x:v>1</x:v>
      </x:c>
      <x:c r="K52" s="48" t="s">
        <x:v>1</x:v>
      </x:c>
      <x:c r="L52" s="48" t="s">
        <x:v>1</x:v>
      </x:c>
      <x:c r="M52" s="48" t="s">
        <x:v>1</x:v>
      </x:c>
      <x:c r="N52" s="48" t="s">
        <x:v>1</x:v>
      </x:c>
      <x:c r="O52" s="48" t="s">
        <x:v>1</x:v>
      </x:c>
      <x:c r="P52" s="48" t="s">
        <x:v>1</x:v>
      </x:c>
      <x:c r="Q52" s="48" t="s">
        <x:v>1</x:v>
      </x:c>
      <x:c r="R52" s="48" t="s">
        <x:v>1</x:v>
      </x:c>
      <x:c r="S52" s="48" t="s">
        <x:v>1</x:v>
      </x:c>
      <x:c r="T52" s="48" t="s">
        <x:v>1</x:v>
      </x:c>
      <x:c r="U52" s="48" t="s">
        <x:v>1</x:v>
      </x:c>
      <x:c r="V52" s="48" t="s">
        <x:v>1</x:v>
      </x:c>
      <x:c r="W52" s="48" t="s">
        <x:v>1</x:v>
      </x:c>
      <x:c r="X52" s="48" t="s">
        <x:v>1</x:v>
      </x:c>
      <x:c r="Y52" s="48" t="s">
        <x:v>1</x:v>
      </x:c>
      <x:c r="Z52" s="48" t="s">
        <x:v>1</x:v>
      </x:c>
      <x:c r="AA52" s="48" t="s">
        <x:v>1</x:v>
      </x:c>
      <x:c r="AB52" s="48" t="s">
        <x:v>1</x:v>
      </x:c>
      <x:c r="AC52" s="48" t="s">
        <x:v>1</x:v>
      </x:c>
      <x:c r="AD52" s="48" t="s">
        <x:v>1</x:v>
      </x:c>
      <x:c r="AE52" s="48" t="s">
        <x:v>1</x:v>
      </x:c>
    </x:row>
    <x:row r="53" ht="21" customHeight="1">
      <x:c r="A53" s="48" t="s">
        <x:v>1</x:v>
      </x:c>
      <x:c r="B53" s="48" t="s">
        <x:v>1</x:v>
      </x:c>
      <x:c r="C53" s="48" t="s">
        <x:v>1</x:v>
      </x:c>
      <x:c r="D53" s="48" t="s">
        <x:v>1</x:v>
      </x:c>
      <x:c r="E53" s="50" t="s">
        <x:v>1</x:v>
      </x:c>
      <x:c r="F53" s="48" t="s">
        <x:v>1</x:v>
      </x:c>
      <x:c r="G53" s="48" t="s">
        <x:v>1</x:v>
      </x:c>
      <x:c r="H53" s="48" t="s">
        <x:v>1</x:v>
      </x:c>
      <x:c r="I53" s="48" t="s">
        <x:v>1</x:v>
      </x:c>
      <x:c r="J53" s="48" t="s">
        <x:v>1</x:v>
      </x:c>
      <x:c r="K53" s="48" t="s">
        <x:v>1</x:v>
      </x:c>
      <x:c r="L53" s="48" t="s">
        <x:v>1</x:v>
      </x:c>
      <x:c r="M53" s="48" t="s">
        <x:v>1</x:v>
      </x:c>
      <x:c r="N53" s="48" t="s">
        <x:v>1</x:v>
      </x:c>
      <x:c r="O53" s="48" t="s">
        <x:v>1</x:v>
      </x:c>
      <x:c r="P53" s="48" t="s">
        <x:v>1</x:v>
      </x:c>
      <x:c r="Q53" s="48" t="s">
        <x:v>1</x:v>
      </x:c>
      <x:c r="R53" s="48" t="s">
        <x:v>1</x:v>
      </x:c>
      <x:c r="S53" s="48" t="s">
        <x:v>1</x:v>
      </x:c>
      <x:c r="T53" s="48" t="s">
        <x:v>1</x:v>
      </x:c>
      <x:c r="U53" s="48" t="s">
        <x:v>1</x:v>
      </x:c>
      <x:c r="V53" s="48" t="s">
        <x:v>1</x:v>
      </x:c>
      <x:c r="W53" s="48" t="s">
        <x:v>1</x:v>
      </x:c>
      <x:c r="X53" s="48" t="s">
        <x:v>1</x:v>
      </x:c>
      <x:c r="Y53" s="48" t="s">
        <x:v>1</x:v>
      </x:c>
      <x:c r="Z53" s="48" t="s">
        <x:v>1</x:v>
      </x:c>
      <x:c r="AA53" s="48" t="s">
        <x:v>1</x:v>
      </x:c>
      <x:c r="AB53" s="48" t="s">
        <x:v>1</x:v>
      </x:c>
      <x:c r="AC53" s="48" t="s">
        <x:v>1</x:v>
      </x:c>
      <x:c r="AD53" s="48" t="s">
        <x:v>1</x:v>
      </x:c>
      <x:c r="AE53" s="48" t="s">
        <x:v>1</x:v>
      </x:c>
    </x:row>
    <x:row r="54" ht="21" customHeight="1">
      <x:c r="A54" s="48" t="s">
        <x:v>1</x:v>
      </x:c>
      <x:c r="B54" s="48" t="s">
        <x:v>1</x:v>
      </x:c>
      <x:c r="C54" s="48" t="s">
        <x:v>1</x:v>
      </x:c>
      <x:c r="D54" s="48" t="s">
        <x:v>1</x:v>
      </x:c>
      <x:c r="E54" s="50" t="s">
        <x:v>1</x:v>
      </x:c>
      <x:c r="F54" s="48" t="s">
        <x:v>1</x:v>
      </x:c>
      <x:c r="G54" s="48" t="s">
        <x:v>1</x:v>
      </x:c>
      <x:c r="H54" s="48" t="s">
        <x:v>1</x:v>
      </x:c>
      <x:c r="I54" s="48" t="s">
        <x:v>1</x:v>
      </x:c>
      <x:c r="J54" s="48" t="s">
        <x:v>1</x:v>
      </x:c>
      <x:c r="K54" s="48" t="s">
        <x:v>1</x:v>
      </x:c>
      <x:c r="L54" s="48" t="s">
        <x:v>1</x:v>
      </x:c>
      <x:c r="M54" s="48" t="s">
        <x:v>1</x:v>
      </x:c>
      <x:c r="N54" s="48" t="s">
        <x:v>1</x:v>
      </x:c>
      <x:c r="O54" s="48" t="s">
        <x:v>1</x:v>
      </x:c>
      <x:c r="P54" s="48" t="s">
        <x:v>1</x:v>
      </x:c>
      <x:c r="Q54" s="48" t="s">
        <x:v>1</x:v>
      </x:c>
      <x:c r="R54" s="48" t="s">
        <x:v>1</x:v>
      </x:c>
      <x:c r="S54" s="48" t="s">
        <x:v>1</x:v>
      </x:c>
      <x:c r="T54" s="48" t="s">
        <x:v>1</x:v>
      </x:c>
      <x:c r="U54" s="48" t="s">
        <x:v>1</x:v>
      </x:c>
      <x:c r="V54" s="48" t="s">
        <x:v>1</x:v>
      </x:c>
      <x:c r="W54" s="48" t="s">
        <x:v>1</x:v>
      </x:c>
      <x:c r="X54" s="48" t="s">
        <x:v>1</x:v>
      </x:c>
      <x:c r="Y54" s="48" t="s">
        <x:v>1</x:v>
      </x:c>
      <x:c r="Z54" s="48" t="s">
        <x:v>1</x:v>
      </x:c>
      <x:c r="AA54" s="48" t="s">
        <x:v>1</x:v>
      </x:c>
      <x:c r="AB54" s="48" t="s">
        <x:v>1</x:v>
      </x:c>
      <x:c r="AC54" s="48" t="s">
        <x:v>1</x:v>
      </x:c>
      <x:c r="AD54" s="48" t="s">
        <x:v>1</x:v>
      </x:c>
      <x:c r="AE54" s="48" t="s">
        <x:v>1</x:v>
      </x:c>
    </x:row>
    <x:row r="55" ht="21" customHeight="1">
      <x:c r="A55" s="48" t="s">
        <x:v>1</x:v>
      </x:c>
      <x:c r="B55" s="48" t="s">
        <x:v>1</x:v>
      </x:c>
      <x:c r="C55" s="48" t="s">
        <x:v>1</x:v>
      </x:c>
      <x:c r="D55" s="48" t="s">
        <x:v>1</x:v>
      </x:c>
      <x:c r="E55" s="50" t="s">
        <x:v>1</x:v>
      </x:c>
      <x:c r="F55" s="48" t="s">
        <x:v>1</x:v>
      </x:c>
      <x:c r="G55" s="48" t="s">
        <x:v>1</x:v>
      </x:c>
      <x:c r="H55" s="48" t="s">
        <x:v>1</x:v>
      </x:c>
      <x:c r="I55" s="48" t="s">
        <x:v>1</x:v>
      </x:c>
      <x:c r="J55" s="48" t="s">
        <x:v>1</x:v>
      </x:c>
      <x:c r="K55" s="48" t="s">
        <x:v>1</x:v>
      </x:c>
      <x:c r="L55" s="48" t="s">
        <x:v>1</x:v>
      </x:c>
      <x:c r="M55" s="48" t="s">
        <x:v>1</x:v>
      </x:c>
      <x:c r="N55" s="48" t="s">
        <x:v>1</x:v>
      </x:c>
      <x:c r="O55" s="48" t="s">
        <x:v>1</x:v>
      </x:c>
      <x:c r="P55" s="48" t="s">
        <x:v>1</x:v>
      </x:c>
      <x:c r="Q55" s="48" t="s">
        <x:v>1</x:v>
      </x:c>
      <x:c r="R55" s="48" t="s">
        <x:v>1</x:v>
      </x:c>
      <x:c r="S55" s="48" t="s">
        <x:v>1</x:v>
      </x:c>
      <x:c r="T55" s="48" t="s">
        <x:v>1</x:v>
      </x:c>
      <x:c r="U55" s="48" t="s">
        <x:v>1</x:v>
      </x:c>
      <x:c r="V55" s="48" t="s">
        <x:v>1</x:v>
      </x:c>
      <x:c r="W55" s="48" t="s">
        <x:v>1</x:v>
      </x:c>
      <x:c r="X55" s="48" t="s">
        <x:v>1</x:v>
      </x:c>
      <x:c r="Y55" s="48" t="s">
        <x:v>1</x:v>
      </x:c>
      <x:c r="Z55" s="48" t="s">
        <x:v>1</x:v>
      </x:c>
      <x:c r="AA55" s="48" t="s">
        <x:v>1</x:v>
      </x:c>
      <x:c r="AB55" s="48" t="s">
        <x:v>1</x:v>
      </x:c>
      <x:c r="AC55" s="48" t="s">
        <x:v>1</x:v>
      </x:c>
      <x:c r="AD55" s="48" t="s">
        <x:v>1</x:v>
      </x:c>
      <x:c r="AE55" s="48" t="s">
        <x:v>1</x:v>
      </x:c>
    </x:row>
    <x:row r="56" ht="21" customHeight="1">
      <x:c r="A56" s="48" t="s">
        <x:v>1</x:v>
      </x:c>
      <x:c r="B56" s="48" t="s">
        <x:v>1</x:v>
      </x:c>
      <x:c r="C56" s="48" t="s">
        <x:v>1</x:v>
      </x:c>
      <x:c r="D56" s="48" t="s">
        <x:v>1</x:v>
      </x:c>
      <x:c r="E56" s="50" t="s">
        <x:v>1</x:v>
      </x:c>
      <x:c r="F56" s="48" t="s">
        <x:v>1</x:v>
      </x:c>
      <x:c r="G56" s="48" t="s">
        <x:v>1</x:v>
      </x:c>
      <x:c r="H56" s="48" t="s">
        <x:v>1</x:v>
      </x:c>
      <x:c r="I56" s="48" t="s">
        <x:v>1</x:v>
      </x:c>
      <x:c r="J56" s="48" t="s">
        <x:v>1</x:v>
      </x:c>
      <x:c r="K56" s="48" t="s">
        <x:v>1</x:v>
      </x:c>
      <x:c r="L56" s="48" t="s">
        <x:v>1</x:v>
      </x:c>
      <x:c r="M56" s="48" t="s">
        <x:v>1</x:v>
      </x:c>
      <x:c r="N56" s="48" t="s">
        <x:v>1</x:v>
      </x:c>
      <x:c r="O56" s="48" t="s">
        <x:v>1</x:v>
      </x:c>
      <x:c r="P56" s="48" t="s">
        <x:v>1</x:v>
      </x:c>
      <x:c r="Q56" s="48" t="s">
        <x:v>1</x:v>
      </x:c>
      <x:c r="R56" s="48" t="s">
        <x:v>1</x:v>
      </x:c>
      <x:c r="S56" s="48" t="s">
        <x:v>1</x:v>
      </x:c>
      <x:c r="T56" s="48" t="s">
        <x:v>1</x:v>
      </x:c>
      <x:c r="U56" s="48" t="s">
        <x:v>1</x:v>
      </x:c>
      <x:c r="V56" s="48" t="s">
        <x:v>1</x:v>
      </x:c>
      <x:c r="W56" s="48" t="s">
        <x:v>1</x:v>
      </x:c>
      <x:c r="X56" s="48" t="s">
        <x:v>1</x:v>
      </x:c>
      <x:c r="Y56" s="48" t="s">
        <x:v>1</x:v>
      </x:c>
      <x:c r="Z56" s="48" t="s">
        <x:v>1</x:v>
      </x:c>
      <x:c r="AA56" s="48" t="s">
        <x:v>1</x:v>
      </x:c>
      <x:c r="AB56" s="48" t="s">
        <x:v>1</x:v>
      </x:c>
      <x:c r="AC56" s="48" t="s">
        <x:v>1</x:v>
      </x:c>
      <x:c r="AD56" s="48" t="s">
        <x:v>1</x:v>
      </x:c>
      <x:c r="AE56" s="48" t="s">
        <x:v>1</x:v>
      </x:c>
    </x:row>
    <x:row r="57" ht="21" customHeight="1">
      <x:c r="A57" s="48" t="s">
        <x:v>1</x:v>
      </x:c>
      <x:c r="B57" s="48" t="s">
        <x:v>1</x:v>
      </x:c>
      <x:c r="C57" s="48" t="s">
        <x:v>1</x:v>
      </x:c>
      <x:c r="D57" s="48" t="s">
        <x:v>1</x:v>
      </x:c>
      <x:c r="E57" s="50" t="s">
        <x:v>1</x:v>
      </x:c>
      <x:c r="F57" s="48" t="s">
        <x:v>1</x:v>
      </x:c>
      <x:c r="G57" s="48" t="s">
        <x:v>1</x:v>
      </x:c>
      <x:c r="H57" s="48" t="s">
        <x:v>1</x:v>
      </x:c>
      <x:c r="I57" s="48" t="s">
        <x:v>1</x:v>
      </x:c>
      <x:c r="J57" s="48" t="s">
        <x:v>1</x:v>
      </x:c>
      <x:c r="K57" s="48" t="s">
        <x:v>1</x:v>
      </x:c>
      <x:c r="L57" s="48" t="s">
        <x:v>1</x:v>
      </x:c>
      <x:c r="M57" s="48" t="s">
        <x:v>1</x:v>
      </x:c>
      <x:c r="N57" s="48" t="s">
        <x:v>1</x:v>
      </x:c>
      <x:c r="O57" s="48" t="s">
        <x:v>1</x:v>
      </x:c>
      <x:c r="P57" s="48" t="s">
        <x:v>1</x:v>
      </x:c>
      <x:c r="Q57" s="48" t="s">
        <x:v>1</x:v>
      </x:c>
      <x:c r="R57" s="48" t="s">
        <x:v>1</x:v>
      </x:c>
      <x:c r="S57" s="48" t="s">
        <x:v>1</x:v>
      </x:c>
      <x:c r="T57" s="48" t="s">
        <x:v>1</x:v>
      </x:c>
      <x:c r="U57" s="48" t="s">
        <x:v>1</x:v>
      </x:c>
      <x:c r="V57" s="48" t="s">
        <x:v>1</x:v>
      </x:c>
      <x:c r="W57" s="48" t="s">
        <x:v>1</x:v>
      </x:c>
      <x:c r="X57" s="48" t="s">
        <x:v>1</x:v>
      </x:c>
      <x:c r="Y57" s="48" t="s">
        <x:v>1</x:v>
      </x:c>
      <x:c r="Z57" s="48" t="s">
        <x:v>1</x:v>
      </x:c>
      <x:c r="AA57" s="48" t="s">
        <x:v>1</x:v>
      </x:c>
      <x:c r="AB57" s="48" t="s">
        <x:v>1</x:v>
      </x:c>
      <x:c r="AC57" s="48" t="s">
        <x:v>1</x:v>
      </x:c>
      <x:c r="AD57" s="48" t="s">
        <x:v>1</x:v>
      </x:c>
      <x:c r="AE57" s="48" t="s">
        <x:v>1</x:v>
      </x:c>
    </x:row>
    <x:row r="58" ht="21" customHeight="1">
      <x:c r="A58" s="48" t="s">
        <x:v>1</x:v>
      </x:c>
      <x:c r="B58" s="48" t="s">
        <x:v>1</x:v>
      </x:c>
      <x:c r="C58" s="48" t="s">
        <x:v>1</x:v>
      </x:c>
      <x:c r="D58" s="48" t="s">
        <x:v>1</x:v>
      </x:c>
      <x:c r="E58" s="50" t="s">
        <x:v>1</x:v>
      </x:c>
      <x:c r="F58" s="48" t="s">
        <x:v>1</x:v>
      </x:c>
      <x:c r="G58" s="48" t="s">
        <x:v>1</x:v>
      </x:c>
      <x:c r="H58" s="48" t="s">
        <x:v>1</x:v>
      </x:c>
      <x:c r="I58" s="48" t="s">
        <x:v>1</x:v>
      </x:c>
      <x:c r="J58" s="48" t="s">
        <x:v>1</x:v>
      </x:c>
      <x:c r="K58" s="48" t="s">
        <x:v>1</x:v>
      </x:c>
      <x:c r="L58" s="48" t="s">
        <x:v>1</x:v>
      </x:c>
      <x:c r="M58" s="48" t="s">
        <x:v>1</x:v>
      </x:c>
      <x:c r="N58" s="48" t="s">
        <x:v>1</x:v>
      </x:c>
      <x:c r="O58" s="48" t="s">
        <x:v>1</x:v>
      </x:c>
      <x:c r="P58" s="48" t="s">
        <x:v>1</x:v>
      </x:c>
      <x:c r="Q58" s="48" t="s">
        <x:v>1</x:v>
      </x:c>
      <x:c r="R58" s="48" t="s">
        <x:v>1</x:v>
      </x:c>
      <x:c r="S58" s="48" t="s">
        <x:v>1</x:v>
      </x:c>
      <x:c r="T58" s="48" t="s">
        <x:v>1</x:v>
      </x:c>
      <x:c r="U58" s="48" t="s">
        <x:v>1</x:v>
      </x:c>
      <x:c r="V58" s="48" t="s">
        <x:v>1</x:v>
      </x:c>
      <x:c r="W58" s="48" t="s">
        <x:v>1</x:v>
      </x:c>
      <x:c r="X58" s="48" t="s">
        <x:v>1</x:v>
      </x:c>
      <x:c r="Y58" s="48" t="s">
        <x:v>1</x:v>
      </x:c>
      <x:c r="Z58" s="48" t="s">
        <x:v>1</x:v>
      </x:c>
      <x:c r="AA58" s="48" t="s">
        <x:v>1</x:v>
      </x:c>
      <x:c r="AB58" s="48" t="s">
        <x:v>1</x:v>
      </x:c>
      <x:c r="AC58" s="48" t="s">
        <x:v>1</x:v>
      </x:c>
      <x:c r="AD58" s="48" t="s">
        <x:v>1</x:v>
      </x:c>
      <x:c r="AE58" s="48" t="s">
        <x:v>1</x:v>
      </x:c>
    </x:row>
    <x:row r="59" ht="21" customHeight="1">
      <x:c r="A59" s="48" t="s">
        <x:v>1</x:v>
      </x:c>
      <x:c r="B59" s="48" t="s">
        <x:v>1</x:v>
      </x:c>
      <x:c r="C59" s="48" t="s">
        <x:v>1</x:v>
      </x:c>
      <x:c r="D59" s="48" t="s">
        <x:v>1</x:v>
      </x:c>
      <x:c r="E59" s="50" t="s">
        <x:v>1</x:v>
      </x:c>
      <x:c r="F59" s="48" t="s">
        <x:v>1</x:v>
      </x:c>
      <x:c r="G59" s="48" t="s">
        <x:v>1</x:v>
      </x:c>
      <x:c r="H59" s="48" t="s">
        <x:v>1</x:v>
      </x:c>
      <x:c r="I59" s="48" t="s">
        <x:v>1</x:v>
      </x:c>
      <x:c r="J59" s="48" t="s">
        <x:v>1</x:v>
      </x:c>
      <x:c r="K59" s="48" t="s">
        <x:v>1</x:v>
      </x:c>
      <x:c r="L59" s="48" t="s">
        <x:v>1</x:v>
      </x:c>
      <x:c r="M59" s="48" t="s">
        <x:v>1</x:v>
      </x:c>
      <x:c r="N59" s="48" t="s">
        <x:v>1</x:v>
      </x:c>
      <x:c r="O59" s="48" t="s">
        <x:v>1</x:v>
      </x:c>
      <x:c r="P59" s="48" t="s">
        <x:v>1</x:v>
      </x:c>
      <x:c r="Q59" s="48" t="s">
        <x:v>1</x:v>
      </x:c>
      <x:c r="R59" s="48" t="s">
        <x:v>1</x:v>
      </x:c>
      <x:c r="S59" s="48" t="s">
        <x:v>1</x:v>
      </x:c>
      <x:c r="T59" s="48" t="s">
        <x:v>1</x:v>
      </x:c>
      <x:c r="U59" s="48" t="s">
        <x:v>1</x:v>
      </x:c>
      <x:c r="V59" s="48" t="s">
        <x:v>1</x:v>
      </x:c>
      <x:c r="W59" s="48" t="s">
        <x:v>1</x:v>
      </x:c>
      <x:c r="X59" s="48" t="s">
        <x:v>1</x:v>
      </x:c>
      <x:c r="Y59" s="48" t="s">
        <x:v>1</x:v>
      </x:c>
      <x:c r="Z59" s="48" t="s">
        <x:v>1</x:v>
      </x:c>
      <x:c r="AA59" s="48" t="s">
        <x:v>1</x:v>
      </x:c>
      <x:c r="AB59" s="48" t="s">
        <x:v>1</x:v>
      </x:c>
      <x:c r="AC59" s="48" t="s">
        <x:v>1</x:v>
      </x:c>
      <x:c r="AD59" s="48" t="s">
        <x:v>1</x:v>
      </x:c>
      <x:c r="AE59" s="48" t="s">
        <x:v>1</x:v>
      </x:c>
    </x:row>
    <x:row r="60" ht="21" customHeight="1">
      <x:c r="A60" s="48" t="s">
        <x:v>1</x:v>
      </x:c>
      <x:c r="B60" s="48" t="s">
        <x:v>1</x:v>
      </x:c>
      <x:c r="C60" s="48" t="s">
        <x:v>1</x:v>
      </x:c>
      <x:c r="D60" s="48" t="s">
        <x:v>1</x:v>
      </x:c>
      <x:c r="E60" s="50" t="s">
        <x:v>1</x:v>
      </x:c>
      <x:c r="F60" s="48" t="s">
        <x:v>1</x:v>
      </x:c>
      <x:c r="G60" s="48" t="s">
        <x:v>1</x:v>
      </x:c>
      <x:c r="H60" s="48" t="s">
        <x:v>1</x:v>
      </x:c>
      <x:c r="I60" s="48" t="s">
        <x:v>1</x:v>
      </x:c>
      <x:c r="J60" s="48" t="s">
        <x:v>1</x:v>
      </x:c>
      <x:c r="K60" s="48" t="s">
        <x:v>1</x:v>
      </x:c>
      <x:c r="L60" s="48" t="s">
        <x:v>1</x:v>
      </x:c>
      <x:c r="M60" s="48" t="s">
        <x:v>1</x:v>
      </x:c>
      <x:c r="N60" s="48" t="s">
        <x:v>1</x:v>
      </x:c>
      <x:c r="O60" s="48" t="s">
        <x:v>1</x:v>
      </x:c>
      <x:c r="P60" s="48" t="s">
        <x:v>1</x:v>
      </x:c>
      <x:c r="Q60" s="48" t="s">
        <x:v>1</x:v>
      </x:c>
      <x:c r="R60" s="48" t="s">
        <x:v>1</x:v>
      </x:c>
      <x:c r="S60" s="48" t="s">
        <x:v>1</x:v>
      </x:c>
      <x:c r="T60" s="48" t="s">
        <x:v>1</x:v>
      </x:c>
      <x:c r="U60" s="48" t="s">
        <x:v>1</x:v>
      </x:c>
      <x:c r="V60" s="48" t="s">
        <x:v>1</x:v>
      </x:c>
      <x:c r="W60" s="48" t="s">
        <x:v>1</x:v>
      </x:c>
      <x:c r="X60" s="48" t="s">
        <x:v>1</x:v>
      </x:c>
      <x:c r="Y60" s="48" t="s">
        <x:v>1</x:v>
      </x:c>
      <x:c r="Z60" s="48" t="s">
        <x:v>1</x:v>
      </x:c>
      <x:c r="AA60" s="48" t="s">
        <x:v>1</x:v>
      </x:c>
      <x:c r="AB60" s="48" t="s">
        <x:v>1</x:v>
      </x:c>
      <x:c r="AC60" s="48" t="s">
        <x:v>1</x:v>
      </x:c>
      <x:c r="AD60" s="48" t="s">
        <x:v>1</x:v>
      </x:c>
      <x:c r="AE60" s="48" t="s">
        <x:v>1</x:v>
      </x:c>
    </x:row>
    <x:row r="61" ht="21" customHeight="1">
      <x:c r="A61" s="48" t="s">
        <x:v>1</x:v>
      </x:c>
      <x:c r="B61" s="48" t="s">
        <x:v>1</x:v>
      </x:c>
      <x:c r="C61" s="48" t="s">
        <x:v>1</x:v>
      </x:c>
      <x:c r="D61" s="48" t="s">
        <x:v>1</x:v>
      </x:c>
      <x:c r="E61" s="50" t="s">
        <x:v>1</x:v>
      </x:c>
      <x:c r="F61" s="48" t="s">
        <x:v>1</x:v>
      </x:c>
      <x:c r="G61" s="48" t="s">
        <x:v>1</x:v>
      </x:c>
      <x:c r="H61" s="48" t="s">
        <x:v>1</x:v>
      </x:c>
      <x:c r="I61" s="48" t="s">
        <x:v>1</x:v>
      </x:c>
      <x:c r="J61" s="48" t="s">
        <x:v>1</x:v>
      </x:c>
      <x:c r="K61" s="48" t="s">
        <x:v>1</x:v>
      </x:c>
      <x:c r="L61" s="48" t="s">
        <x:v>1</x:v>
      </x:c>
      <x:c r="M61" s="48" t="s">
        <x:v>1</x:v>
      </x:c>
      <x:c r="N61" s="48" t="s">
        <x:v>1</x:v>
      </x:c>
      <x:c r="O61" s="48" t="s">
        <x:v>1</x:v>
      </x:c>
      <x:c r="P61" s="48" t="s">
        <x:v>1</x:v>
      </x:c>
      <x:c r="Q61" s="48" t="s">
        <x:v>1</x:v>
      </x:c>
      <x:c r="R61" s="48" t="s">
        <x:v>1</x:v>
      </x:c>
      <x:c r="S61" s="48" t="s">
        <x:v>1</x:v>
      </x:c>
      <x:c r="T61" s="48" t="s">
        <x:v>1</x:v>
      </x:c>
      <x:c r="U61" s="48" t="s">
        <x:v>1</x:v>
      </x:c>
      <x:c r="V61" s="48" t="s">
        <x:v>1</x:v>
      </x:c>
      <x:c r="W61" s="48" t="s">
        <x:v>1</x:v>
      </x:c>
      <x:c r="X61" s="48" t="s">
        <x:v>1</x:v>
      </x:c>
      <x:c r="Y61" s="48" t="s">
        <x:v>1</x:v>
      </x:c>
      <x:c r="Z61" s="48" t="s">
        <x:v>1</x:v>
      </x:c>
      <x:c r="AA61" s="48" t="s">
        <x:v>1</x:v>
      </x:c>
      <x:c r="AB61" s="48" t="s">
        <x:v>1</x:v>
      </x:c>
      <x:c r="AC61" s="48" t="s">
        <x:v>1</x:v>
      </x:c>
      <x:c r="AD61" s="48" t="s">
        <x:v>1</x:v>
      </x:c>
      <x:c r="AE61" s="48" t="s">
        <x:v>1</x:v>
      </x:c>
    </x:row>
    <x:row r="62" ht="21" customHeight="1">
      <x:c r="A62" s="48" t="s">
        <x:v>1</x:v>
      </x:c>
      <x:c r="B62" s="48" t="s">
        <x:v>1</x:v>
      </x:c>
      <x:c r="C62" s="48" t="s">
        <x:v>1</x:v>
      </x:c>
      <x:c r="D62" s="48" t="s">
        <x:v>1</x:v>
      </x:c>
      <x:c r="E62" s="50" t="s">
        <x:v>1</x:v>
      </x:c>
      <x:c r="F62" s="48" t="s">
        <x:v>1</x:v>
      </x:c>
      <x:c r="G62" s="48" t="s">
        <x:v>1</x:v>
      </x:c>
      <x:c r="H62" s="48" t="s">
        <x:v>1</x:v>
      </x:c>
      <x:c r="I62" s="48" t="s">
        <x:v>1</x:v>
      </x:c>
      <x:c r="J62" s="48" t="s">
        <x:v>1</x:v>
      </x:c>
      <x:c r="K62" s="48" t="s">
        <x:v>1</x:v>
      </x:c>
      <x:c r="L62" s="48" t="s">
        <x:v>1</x:v>
      </x:c>
      <x:c r="M62" s="48" t="s">
        <x:v>1</x:v>
      </x:c>
      <x:c r="N62" s="48" t="s">
        <x:v>1</x:v>
      </x:c>
      <x:c r="O62" s="48" t="s">
        <x:v>1</x:v>
      </x:c>
      <x:c r="P62" s="48" t="s">
        <x:v>1</x:v>
      </x:c>
      <x:c r="Q62" s="48" t="s">
        <x:v>1</x:v>
      </x:c>
      <x:c r="R62" s="48" t="s">
        <x:v>1</x:v>
      </x:c>
      <x:c r="S62" s="48" t="s">
        <x:v>1</x:v>
      </x:c>
      <x:c r="T62" s="48" t="s">
        <x:v>1</x:v>
      </x:c>
      <x:c r="U62" s="48" t="s">
        <x:v>1</x:v>
      </x:c>
      <x:c r="V62" s="48" t="s">
        <x:v>1</x:v>
      </x:c>
      <x:c r="W62" s="48" t="s">
        <x:v>1</x:v>
      </x:c>
      <x:c r="X62" s="48" t="s">
        <x:v>1</x:v>
      </x:c>
      <x:c r="Y62" s="48" t="s">
        <x:v>1</x:v>
      </x:c>
      <x:c r="Z62" s="48" t="s">
        <x:v>1</x:v>
      </x:c>
      <x:c r="AA62" s="48" t="s">
        <x:v>1</x:v>
      </x:c>
      <x:c r="AB62" s="48" t="s">
        <x:v>1</x:v>
      </x:c>
      <x:c r="AC62" s="48" t="s">
        <x:v>1</x:v>
      </x:c>
      <x:c r="AD62" s="48" t="s">
        <x:v>1</x:v>
      </x:c>
      <x:c r="AE62" s="48" t="s">
        <x:v>1</x:v>
      </x:c>
    </x:row>
    <x:row r="63" ht="21" customHeight="1">
      <x:c r="A63" s="48" t="s">
        <x:v>1</x:v>
      </x:c>
      <x:c r="B63" s="48" t="s">
        <x:v>1</x:v>
      </x:c>
      <x:c r="C63" s="48" t="s">
        <x:v>1</x:v>
      </x:c>
      <x:c r="D63" s="48" t="s">
        <x:v>1</x:v>
      </x:c>
      <x:c r="E63" s="50" t="s">
        <x:v>1</x:v>
      </x:c>
      <x:c r="F63" s="48" t="s">
        <x:v>1</x:v>
      </x:c>
      <x:c r="G63" s="48" t="s">
        <x:v>1</x:v>
      </x:c>
      <x:c r="H63" s="48" t="s">
        <x:v>1</x:v>
      </x:c>
      <x:c r="I63" s="48" t="s">
        <x:v>1</x:v>
      </x:c>
      <x:c r="J63" s="48" t="s">
        <x:v>1</x:v>
      </x:c>
      <x:c r="K63" s="48" t="s">
        <x:v>1</x:v>
      </x:c>
      <x:c r="L63" s="48" t="s">
        <x:v>1</x:v>
      </x:c>
      <x:c r="M63" s="48" t="s">
        <x:v>1</x:v>
      </x:c>
      <x:c r="N63" s="48" t="s">
        <x:v>1</x:v>
      </x:c>
      <x:c r="O63" s="48" t="s">
        <x:v>1</x:v>
      </x:c>
      <x:c r="P63" s="48" t="s">
        <x:v>1</x:v>
      </x:c>
      <x:c r="Q63" s="48" t="s">
        <x:v>1</x:v>
      </x:c>
      <x:c r="R63" s="48" t="s">
        <x:v>1</x:v>
      </x:c>
      <x:c r="S63" s="48" t="s">
        <x:v>1</x:v>
      </x:c>
      <x:c r="T63" s="48" t="s">
        <x:v>1</x:v>
      </x:c>
      <x:c r="U63" s="48" t="s">
        <x:v>1</x:v>
      </x:c>
      <x:c r="V63" s="48" t="s">
        <x:v>1</x:v>
      </x:c>
      <x:c r="W63" s="48" t="s">
        <x:v>1</x:v>
      </x:c>
      <x:c r="X63" s="48" t="s">
        <x:v>1</x:v>
      </x:c>
      <x:c r="Y63" s="48" t="s">
        <x:v>1</x:v>
      </x:c>
      <x:c r="Z63" s="48" t="s">
        <x:v>1</x:v>
      </x:c>
      <x:c r="AA63" s="48" t="s">
        <x:v>1</x:v>
      </x:c>
      <x:c r="AB63" s="48" t="s">
        <x:v>1</x:v>
      </x:c>
      <x:c r="AC63" s="48" t="s">
        <x:v>1</x:v>
      </x:c>
      <x:c r="AD63" s="48" t="s">
        <x:v>1</x:v>
      </x:c>
      <x:c r="AE63" s="48" t="s">
        <x:v>1</x:v>
      </x:c>
    </x:row>
    <x:row r="64" ht="21" customHeight="1">
      <x:c r="A64" s="48" t="s">
        <x:v>1</x:v>
      </x:c>
      <x:c r="B64" s="48" t="s">
        <x:v>1</x:v>
      </x:c>
      <x:c r="C64" s="48" t="s">
        <x:v>1</x:v>
      </x:c>
      <x:c r="D64" s="48" t="s">
        <x:v>1</x:v>
      </x:c>
      <x:c r="E64" s="50" t="s">
        <x:v>1</x:v>
      </x:c>
      <x:c r="F64" s="48" t="s">
        <x:v>1</x:v>
      </x:c>
      <x:c r="G64" s="48" t="s">
        <x:v>1</x:v>
      </x:c>
      <x:c r="H64" s="48" t="s">
        <x:v>1</x:v>
      </x:c>
      <x:c r="I64" s="48" t="s">
        <x:v>1</x:v>
      </x:c>
      <x:c r="J64" s="48" t="s">
        <x:v>1</x:v>
      </x:c>
      <x:c r="K64" s="48" t="s">
        <x:v>1</x:v>
      </x:c>
      <x:c r="L64" s="48" t="s">
        <x:v>1</x:v>
      </x:c>
      <x:c r="M64" s="48" t="s">
        <x:v>1</x:v>
      </x:c>
      <x:c r="N64" s="48" t="s">
        <x:v>1</x:v>
      </x:c>
      <x:c r="O64" s="48" t="s">
        <x:v>1</x:v>
      </x:c>
      <x:c r="P64" s="48" t="s">
        <x:v>1</x:v>
      </x:c>
      <x:c r="Q64" s="48" t="s">
        <x:v>1</x:v>
      </x:c>
      <x:c r="R64" s="48" t="s">
        <x:v>1</x:v>
      </x:c>
      <x:c r="S64" s="48" t="s">
        <x:v>1</x:v>
      </x:c>
      <x:c r="T64" s="48" t="s">
        <x:v>1</x:v>
      </x:c>
      <x:c r="U64" s="48" t="s">
        <x:v>1</x:v>
      </x:c>
      <x:c r="V64" s="48" t="s">
        <x:v>1</x:v>
      </x:c>
      <x:c r="W64" s="48" t="s">
        <x:v>1</x:v>
      </x:c>
      <x:c r="X64" s="48" t="s">
        <x:v>1</x:v>
      </x:c>
      <x:c r="Y64" s="48" t="s">
        <x:v>1</x:v>
      </x:c>
      <x:c r="Z64" s="48" t="s">
        <x:v>1</x:v>
      </x:c>
      <x:c r="AA64" s="48" t="s">
        <x:v>1</x:v>
      </x:c>
      <x:c r="AB64" s="48" t="s">
        <x:v>1</x:v>
      </x:c>
      <x:c r="AC64" s="48" t="s">
        <x:v>1</x:v>
      </x:c>
      <x:c r="AD64" s="48" t="s">
        <x:v>1</x:v>
      </x:c>
      <x:c r="AE64" s="48" t="s">
        <x:v>1</x:v>
      </x:c>
    </x:row>
    <x:row r="65" ht="21" customHeight="1">
      <x:c r="A65" s="48" t="s">
        <x:v>1</x:v>
      </x:c>
      <x:c r="B65" s="48" t="s">
        <x:v>1</x:v>
      </x:c>
      <x:c r="C65" s="48" t="s">
        <x:v>1</x:v>
      </x:c>
      <x:c r="D65" s="48" t="s">
        <x:v>1</x:v>
      </x:c>
      <x:c r="E65" s="50" t="s">
        <x:v>1</x:v>
      </x:c>
      <x:c r="F65" s="48" t="s">
        <x:v>1</x:v>
      </x:c>
      <x:c r="G65" s="48" t="s">
        <x:v>1</x:v>
      </x:c>
      <x:c r="H65" s="48" t="s">
        <x:v>1</x:v>
      </x:c>
      <x:c r="I65" s="48" t="s">
        <x:v>1</x:v>
      </x:c>
      <x:c r="J65" s="48" t="s">
        <x:v>1</x:v>
      </x:c>
      <x:c r="K65" s="48" t="s">
        <x:v>1</x:v>
      </x:c>
      <x:c r="L65" s="48" t="s">
        <x:v>1</x:v>
      </x:c>
      <x:c r="M65" s="48" t="s">
        <x:v>1</x:v>
      </x:c>
      <x:c r="N65" s="48" t="s">
        <x:v>1</x:v>
      </x:c>
      <x:c r="O65" s="48" t="s">
        <x:v>1</x:v>
      </x:c>
      <x:c r="P65" s="48" t="s">
        <x:v>1</x:v>
      </x:c>
      <x:c r="Q65" s="48" t="s">
        <x:v>1</x:v>
      </x:c>
      <x:c r="R65" s="48" t="s">
        <x:v>1</x:v>
      </x:c>
      <x:c r="S65" s="48" t="s">
        <x:v>1</x:v>
      </x:c>
      <x:c r="T65" s="48" t="s">
        <x:v>1</x:v>
      </x:c>
      <x:c r="U65" s="48" t="s">
        <x:v>1</x:v>
      </x:c>
      <x:c r="V65" s="48" t="s">
        <x:v>1</x:v>
      </x:c>
      <x:c r="W65" s="48" t="s">
        <x:v>1</x:v>
      </x:c>
      <x:c r="X65" s="48" t="s">
        <x:v>1</x:v>
      </x:c>
      <x:c r="Y65" s="48" t="s">
        <x:v>1</x:v>
      </x:c>
      <x:c r="Z65" s="48" t="s">
        <x:v>1</x:v>
      </x:c>
      <x:c r="AA65" s="48" t="s">
        <x:v>1</x:v>
      </x:c>
      <x:c r="AB65" s="48" t="s">
        <x:v>1</x:v>
      </x:c>
      <x:c r="AC65" s="48" t="s">
        <x:v>1</x:v>
      </x:c>
      <x:c r="AD65" s="48" t="s">
        <x:v>1</x:v>
      </x:c>
      <x:c r="AE65" s="48" t="s">
        <x:v>1</x:v>
      </x:c>
    </x:row>
    <x:row r="66" ht="21" customHeight="1">
      <x:c r="A66" s="48" t="s">
        <x:v>1</x:v>
      </x:c>
      <x:c r="B66" s="48" t="s">
        <x:v>1</x:v>
      </x:c>
      <x:c r="C66" s="48" t="s">
        <x:v>1</x:v>
      </x:c>
      <x:c r="D66" s="48" t="s">
        <x:v>1</x:v>
      </x:c>
      <x:c r="E66" s="50" t="s">
        <x:v>1</x:v>
      </x:c>
      <x:c r="F66" s="48" t="s">
        <x:v>1</x:v>
      </x:c>
      <x:c r="G66" s="48" t="s">
        <x:v>1</x:v>
      </x:c>
      <x:c r="H66" s="48" t="s">
        <x:v>1</x:v>
      </x:c>
      <x:c r="I66" s="48" t="s">
        <x:v>1</x:v>
      </x:c>
      <x:c r="J66" s="48" t="s">
        <x:v>1</x:v>
      </x:c>
      <x:c r="K66" s="48" t="s">
        <x:v>1</x:v>
      </x:c>
      <x:c r="L66" s="48" t="s">
        <x:v>1</x:v>
      </x:c>
      <x:c r="M66" s="48" t="s">
        <x:v>1</x:v>
      </x:c>
      <x:c r="N66" s="48" t="s">
        <x:v>1</x:v>
      </x:c>
      <x:c r="O66" s="48" t="s">
        <x:v>1</x:v>
      </x:c>
      <x:c r="P66" s="48" t="s">
        <x:v>1</x:v>
      </x:c>
      <x:c r="Q66" s="48" t="s">
        <x:v>1</x:v>
      </x:c>
      <x:c r="R66" s="48" t="s">
        <x:v>1</x:v>
      </x:c>
      <x:c r="S66" s="48" t="s">
        <x:v>1</x:v>
      </x:c>
      <x:c r="T66" s="48" t="s">
        <x:v>1</x:v>
      </x:c>
      <x:c r="U66" s="48" t="s">
        <x:v>1</x:v>
      </x:c>
      <x:c r="V66" s="48" t="s">
        <x:v>1</x:v>
      </x:c>
      <x:c r="W66" s="48" t="s">
        <x:v>1</x:v>
      </x:c>
      <x:c r="X66" s="48" t="s">
        <x:v>1</x:v>
      </x:c>
      <x:c r="Y66" s="48" t="s">
        <x:v>1</x:v>
      </x:c>
      <x:c r="Z66" s="48" t="s">
        <x:v>1</x:v>
      </x:c>
      <x:c r="AA66" s="48" t="s">
        <x:v>1</x:v>
      </x:c>
      <x:c r="AB66" s="48" t="s">
        <x:v>1</x:v>
      </x:c>
      <x:c r="AC66" s="48" t="s">
        <x:v>1</x:v>
      </x:c>
      <x:c r="AD66" s="48" t="s">
        <x:v>1</x:v>
      </x:c>
      <x:c r="AE66" s="48" t="s">
        <x:v>1</x:v>
      </x:c>
    </x:row>
    <x:row r="67" ht="21" customHeight="1">
      <x:c r="A67" s="48" t="s">
        <x:v>1</x:v>
      </x:c>
      <x:c r="B67" s="48" t="s">
        <x:v>1</x:v>
      </x:c>
      <x:c r="C67" s="48" t="s">
        <x:v>1</x:v>
      </x:c>
      <x:c r="D67" s="48" t="s">
        <x:v>1</x:v>
      </x:c>
      <x:c r="E67" s="50" t="s">
        <x:v>1</x:v>
      </x:c>
      <x:c r="F67" s="48" t="s">
        <x:v>1</x:v>
      </x:c>
      <x:c r="G67" s="48" t="s">
        <x:v>1</x:v>
      </x:c>
      <x:c r="H67" s="48" t="s">
        <x:v>1</x:v>
      </x:c>
      <x:c r="I67" s="48" t="s">
        <x:v>1</x:v>
      </x:c>
      <x:c r="J67" s="48" t="s">
        <x:v>1</x:v>
      </x:c>
      <x:c r="K67" s="48" t="s">
        <x:v>1</x:v>
      </x:c>
      <x:c r="L67" s="48" t="s">
        <x:v>1</x:v>
      </x:c>
      <x:c r="M67" s="48" t="s">
        <x:v>1</x:v>
      </x:c>
      <x:c r="N67" s="48" t="s">
        <x:v>1</x:v>
      </x:c>
      <x:c r="O67" s="48" t="s">
        <x:v>1</x:v>
      </x:c>
      <x:c r="P67" s="48" t="s">
        <x:v>1</x:v>
      </x:c>
      <x:c r="Q67" s="48" t="s">
        <x:v>1</x:v>
      </x:c>
      <x:c r="R67" s="48" t="s">
        <x:v>1</x:v>
      </x:c>
      <x:c r="S67" s="48" t="s">
        <x:v>1</x:v>
      </x:c>
      <x:c r="T67" s="48" t="s">
        <x:v>1</x:v>
      </x:c>
      <x:c r="U67" s="48" t="s">
        <x:v>1</x:v>
      </x:c>
      <x:c r="V67" s="48" t="s">
        <x:v>1</x:v>
      </x:c>
      <x:c r="W67" s="48" t="s">
        <x:v>1</x:v>
      </x:c>
      <x:c r="X67" s="48" t="s">
        <x:v>1</x:v>
      </x:c>
      <x:c r="Y67" s="48" t="s">
        <x:v>1</x:v>
      </x:c>
      <x:c r="Z67" s="48" t="s">
        <x:v>1</x:v>
      </x:c>
      <x:c r="AA67" s="48" t="s">
        <x:v>1</x:v>
      </x:c>
      <x:c r="AB67" s="48" t="s">
        <x:v>1</x:v>
      </x:c>
      <x:c r="AC67" s="48" t="s">
        <x:v>1</x:v>
      </x:c>
      <x:c r="AD67" s="48" t="s">
        <x:v>1</x:v>
      </x:c>
      <x:c r="AE67" s="48" t="s">
        <x:v>1</x:v>
      </x:c>
    </x:row>
    <x:row r="68" ht="21" customHeight="1">
      <x:c r="A68" s="48" t="s">
        <x:v>1</x:v>
      </x:c>
      <x:c r="B68" s="48" t="s">
        <x:v>1</x:v>
      </x:c>
      <x:c r="C68" s="48" t="s">
        <x:v>1</x:v>
      </x:c>
      <x:c r="D68" s="48" t="s">
        <x:v>1</x:v>
      </x:c>
      <x:c r="E68" s="50" t="s">
        <x:v>1</x:v>
      </x:c>
      <x:c r="F68" s="48" t="s">
        <x:v>1</x:v>
      </x:c>
      <x:c r="G68" s="48" t="s">
        <x:v>1</x:v>
      </x:c>
      <x:c r="H68" s="48" t="s">
        <x:v>1</x:v>
      </x:c>
      <x:c r="I68" s="48" t="s">
        <x:v>1</x:v>
      </x:c>
      <x:c r="J68" s="48" t="s">
        <x:v>1</x:v>
      </x:c>
      <x:c r="K68" s="48" t="s">
        <x:v>1</x:v>
      </x:c>
      <x:c r="L68" s="48" t="s">
        <x:v>1</x:v>
      </x:c>
      <x:c r="M68" s="48" t="s">
        <x:v>1</x:v>
      </x:c>
      <x:c r="N68" s="48" t="s">
        <x:v>1</x:v>
      </x:c>
      <x:c r="O68" s="48" t="s">
        <x:v>1</x:v>
      </x:c>
      <x:c r="P68" s="48" t="s">
        <x:v>1</x:v>
      </x:c>
      <x:c r="Q68" s="48" t="s">
        <x:v>1</x:v>
      </x:c>
      <x:c r="R68" s="48" t="s">
        <x:v>1</x:v>
      </x:c>
      <x:c r="S68" s="48" t="s">
        <x:v>1</x:v>
      </x:c>
      <x:c r="T68" s="48" t="s">
        <x:v>1</x:v>
      </x:c>
      <x:c r="U68" s="48" t="s">
        <x:v>1</x:v>
      </x:c>
      <x:c r="V68" s="48" t="s">
        <x:v>1</x:v>
      </x:c>
      <x:c r="W68" s="48" t="s">
        <x:v>1</x:v>
      </x:c>
      <x:c r="X68" s="48" t="s">
        <x:v>1</x:v>
      </x:c>
      <x:c r="Y68" s="48" t="s">
        <x:v>1</x:v>
      </x:c>
      <x:c r="Z68" s="48" t="s">
        <x:v>1</x:v>
      </x:c>
      <x:c r="AA68" s="48" t="s">
        <x:v>1</x:v>
      </x:c>
      <x:c r="AB68" s="48" t="s">
        <x:v>1</x:v>
      </x:c>
      <x:c r="AC68" s="48" t="s">
        <x:v>1</x:v>
      </x:c>
      <x:c r="AD68" s="48" t="s">
        <x:v>1</x:v>
      </x:c>
      <x:c r="AE68" s="48" t="s">
        <x:v>1</x:v>
      </x:c>
    </x:row>
    <x:row r="69" ht="21" customHeight="1">
      <x:c r="A69" s="48" t="s">
        <x:v>1</x:v>
      </x:c>
      <x:c r="B69" s="48" t="s">
        <x:v>1</x:v>
      </x:c>
      <x:c r="C69" s="48" t="s">
        <x:v>1</x:v>
      </x:c>
      <x:c r="D69" s="48" t="s">
        <x:v>1</x:v>
      </x:c>
      <x:c r="E69" s="50" t="s">
        <x:v>1</x:v>
      </x:c>
      <x:c r="F69" s="48" t="s">
        <x:v>1</x:v>
      </x:c>
      <x:c r="G69" s="48" t="s">
        <x:v>1</x:v>
      </x:c>
      <x:c r="H69" s="48" t="s">
        <x:v>1</x:v>
      </x:c>
      <x:c r="I69" s="48" t="s">
        <x:v>1</x:v>
      </x:c>
      <x:c r="J69" s="48" t="s">
        <x:v>1</x:v>
      </x:c>
      <x:c r="K69" s="48" t="s">
        <x:v>1</x:v>
      </x:c>
      <x:c r="L69" s="48" t="s">
        <x:v>1</x:v>
      </x:c>
      <x:c r="M69" s="48" t="s">
        <x:v>1</x:v>
      </x:c>
      <x:c r="N69" s="48" t="s">
        <x:v>1</x:v>
      </x:c>
      <x:c r="O69" s="48" t="s">
        <x:v>1</x:v>
      </x:c>
      <x:c r="P69" s="48" t="s">
        <x:v>1</x:v>
      </x:c>
      <x:c r="Q69" s="48" t="s">
        <x:v>1</x:v>
      </x:c>
      <x:c r="R69" s="48" t="s">
        <x:v>1</x:v>
      </x:c>
      <x:c r="S69" s="48" t="s">
        <x:v>1</x:v>
      </x:c>
      <x:c r="T69" s="48" t="s">
        <x:v>1</x:v>
      </x:c>
      <x:c r="U69" s="48" t="s">
        <x:v>1</x:v>
      </x:c>
      <x:c r="V69" s="48" t="s">
        <x:v>1</x:v>
      </x:c>
      <x:c r="W69" s="48" t="s">
        <x:v>1</x:v>
      </x:c>
      <x:c r="X69" s="48" t="s">
        <x:v>1</x:v>
      </x:c>
      <x:c r="Y69" s="48" t="s">
        <x:v>1</x:v>
      </x:c>
      <x:c r="Z69" s="48" t="s">
        <x:v>1</x:v>
      </x:c>
      <x:c r="AA69" s="48" t="s">
        <x:v>1</x:v>
      </x:c>
      <x:c r="AB69" s="48" t="s">
        <x:v>1</x:v>
      </x:c>
      <x:c r="AC69" s="48" t="s">
        <x:v>1</x:v>
      </x:c>
      <x:c r="AD69" s="48" t="s">
        <x:v>1</x:v>
      </x:c>
      <x:c r="AE69" s="48" t="s">
        <x:v>1</x:v>
      </x:c>
    </x:row>
    <x:row r="70" ht="21" customHeight="1">
      <x:c r="A70" s="48" t="s">
        <x:v>1</x:v>
      </x:c>
      <x:c r="B70" s="48" t="s">
        <x:v>1</x:v>
      </x:c>
      <x:c r="C70" s="48" t="s">
        <x:v>1</x:v>
      </x:c>
      <x:c r="D70" s="48" t="s">
        <x:v>1</x:v>
      </x:c>
      <x:c r="E70" s="50" t="s">
        <x:v>1</x:v>
      </x:c>
      <x:c r="F70" s="48" t="s">
        <x:v>1</x:v>
      </x:c>
      <x:c r="G70" s="48" t="s">
        <x:v>1</x:v>
      </x:c>
      <x:c r="H70" s="48" t="s">
        <x:v>1</x:v>
      </x:c>
      <x:c r="I70" s="48" t="s">
        <x:v>1</x:v>
      </x:c>
      <x:c r="J70" s="48" t="s">
        <x:v>1</x:v>
      </x:c>
      <x:c r="K70" s="48" t="s">
        <x:v>1</x:v>
      </x:c>
      <x:c r="L70" s="48" t="s">
        <x:v>1</x:v>
      </x:c>
      <x:c r="M70" s="48" t="s">
        <x:v>1</x:v>
      </x:c>
      <x:c r="N70" s="48" t="s">
        <x:v>1</x:v>
      </x:c>
      <x:c r="O70" s="48" t="s">
        <x:v>1</x:v>
      </x:c>
      <x:c r="P70" s="48" t="s">
        <x:v>1</x:v>
      </x:c>
      <x:c r="Q70" s="48" t="s">
        <x:v>1</x:v>
      </x:c>
      <x:c r="R70" s="48" t="s">
        <x:v>1</x:v>
      </x:c>
      <x:c r="S70" s="48" t="s">
        <x:v>1</x:v>
      </x:c>
      <x:c r="T70" s="48" t="s">
        <x:v>1</x:v>
      </x:c>
      <x:c r="U70" s="48" t="s">
        <x:v>1</x:v>
      </x:c>
      <x:c r="V70" s="48" t="s">
        <x:v>1</x:v>
      </x:c>
      <x:c r="W70" s="48" t="s">
        <x:v>1</x:v>
      </x:c>
      <x:c r="X70" s="48" t="s">
        <x:v>1</x:v>
      </x:c>
      <x:c r="Y70" s="48" t="s">
        <x:v>1</x:v>
      </x:c>
      <x:c r="Z70" s="48" t="s">
        <x:v>1</x:v>
      </x:c>
      <x:c r="AA70" s="48" t="s">
        <x:v>1</x:v>
      </x:c>
      <x:c r="AB70" s="48" t="s">
        <x:v>1</x:v>
      </x:c>
      <x:c r="AC70" s="48" t="s">
        <x:v>1</x:v>
      </x:c>
      <x:c r="AD70" s="48" t="s">
        <x:v>1</x:v>
      </x:c>
      <x:c r="AE70" s="48" t="s">
        <x:v>1</x:v>
      </x:c>
    </x:row>
    <x:row r="71" ht="21" customHeight="1">
      <x:c r="A71" s="48" t="s">
        <x:v>1</x:v>
      </x:c>
      <x:c r="B71" s="48" t="s">
        <x:v>1</x:v>
      </x:c>
      <x:c r="C71" s="48" t="s">
        <x:v>1</x:v>
      </x:c>
      <x:c r="D71" s="48" t="s">
        <x:v>1</x:v>
      </x:c>
      <x:c r="E71" s="50" t="s">
        <x:v>1</x:v>
      </x:c>
      <x:c r="F71" s="48" t="s">
        <x:v>1</x:v>
      </x:c>
      <x:c r="G71" s="48" t="s">
        <x:v>1</x:v>
      </x:c>
      <x:c r="H71" s="48" t="s">
        <x:v>1</x:v>
      </x:c>
      <x:c r="I71" s="48" t="s">
        <x:v>1</x:v>
      </x:c>
      <x:c r="J71" s="48" t="s">
        <x:v>1</x:v>
      </x:c>
      <x:c r="K71" s="48" t="s">
        <x:v>1</x:v>
      </x:c>
      <x:c r="L71" s="48" t="s">
        <x:v>1</x:v>
      </x:c>
      <x:c r="M71" s="48" t="s">
        <x:v>1</x:v>
      </x:c>
      <x:c r="N71" s="48" t="s">
        <x:v>1</x:v>
      </x:c>
      <x:c r="O71" s="48" t="s">
        <x:v>1</x:v>
      </x:c>
      <x:c r="P71" s="48" t="s">
        <x:v>1</x:v>
      </x:c>
      <x:c r="Q71" s="48" t="s">
        <x:v>1</x:v>
      </x:c>
      <x:c r="R71" s="48" t="s">
        <x:v>1</x:v>
      </x:c>
      <x:c r="S71" s="48" t="s">
        <x:v>1</x:v>
      </x:c>
      <x:c r="T71" s="48" t="s">
        <x:v>1</x:v>
      </x:c>
      <x:c r="U71" s="48" t="s">
        <x:v>1</x:v>
      </x:c>
      <x:c r="V71" s="48" t="s">
        <x:v>1</x:v>
      </x:c>
      <x:c r="W71" s="48" t="s">
        <x:v>1</x:v>
      </x:c>
      <x:c r="X71" s="48" t="s">
        <x:v>1</x:v>
      </x:c>
      <x:c r="Y71" s="48" t="s">
        <x:v>1</x:v>
      </x:c>
      <x:c r="Z71" s="48" t="s">
        <x:v>1</x:v>
      </x:c>
      <x:c r="AA71" s="48" t="s">
        <x:v>1</x:v>
      </x:c>
      <x:c r="AB71" s="48" t="s">
        <x:v>1</x:v>
      </x:c>
      <x:c r="AC71" s="48" t="s">
        <x:v>1</x:v>
      </x:c>
      <x:c r="AD71" s="48" t="s">
        <x:v>1</x:v>
      </x:c>
      <x:c r="AE71" s="48" t="s">
        <x:v>1</x:v>
      </x:c>
    </x:row>
    <x:row r="72" ht="21" customHeight="1">
      <x:c r="A72" s="48" t="s">
        <x:v>1</x:v>
      </x:c>
      <x:c r="B72" s="48" t="s">
        <x:v>1</x:v>
      </x:c>
      <x:c r="C72" s="48" t="s">
        <x:v>1</x:v>
      </x:c>
      <x:c r="D72" s="48" t="s">
        <x:v>1</x:v>
      </x:c>
      <x:c r="E72" s="50" t="s">
        <x:v>1</x:v>
      </x:c>
      <x:c r="F72" s="48" t="s">
        <x:v>1</x:v>
      </x:c>
      <x:c r="G72" s="48" t="s">
        <x:v>1</x:v>
      </x:c>
      <x:c r="H72" s="48" t="s">
        <x:v>1</x:v>
      </x:c>
      <x:c r="I72" s="48" t="s">
        <x:v>1</x:v>
      </x:c>
      <x:c r="J72" s="48" t="s">
        <x:v>1</x:v>
      </x:c>
      <x:c r="K72" s="48" t="s">
        <x:v>1</x:v>
      </x:c>
      <x:c r="L72" s="48" t="s">
        <x:v>1</x:v>
      </x:c>
      <x:c r="M72" s="48" t="s">
        <x:v>1</x:v>
      </x:c>
      <x:c r="N72" s="48" t="s">
        <x:v>1</x:v>
      </x:c>
      <x:c r="O72" s="48" t="s">
        <x:v>1</x:v>
      </x:c>
      <x:c r="P72" s="48" t="s">
        <x:v>1</x:v>
      </x:c>
      <x:c r="Q72" s="48" t="s">
        <x:v>1</x:v>
      </x:c>
      <x:c r="R72" s="48" t="s">
        <x:v>1</x:v>
      </x:c>
      <x:c r="S72" s="48" t="s">
        <x:v>1</x:v>
      </x:c>
      <x:c r="T72" s="48" t="s">
        <x:v>1</x:v>
      </x:c>
      <x:c r="U72" s="48" t="s">
        <x:v>1</x:v>
      </x:c>
      <x:c r="V72" s="48" t="s">
        <x:v>1</x:v>
      </x:c>
      <x:c r="W72" s="48" t="s">
        <x:v>1</x:v>
      </x:c>
      <x:c r="X72" s="48" t="s">
        <x:v>1</x:v>
      </x:c>
      <x:c r="Y72" s="48" t="s">
        <x:v>1</x:v>
      </x:c>
      <x:c r="Z72" s="48" t="s">
        <x:v>1</x:v>
      </x:c>
      <x:c r="AA72" s="48" t="s">
        <x:v>1</x:v>
      </x:c>
      <x:c r="AB72" s="48" t="s">
        <x:v>1</x:v>
      </x:c>
      <x:c r="AC72" s="48" t="s">
        <x:v>1</x:v>
      </x:c>
      <x:c r="AD72" s="48" t="s">
        <x:v>1</x:v>
      </x:c>
      <x:c r="AE72" s="48" t="s">
        <x:v>1</x:v>
      </x:c>
    </x:row>
    <x:row r="73" ht="21" customHeight="1">
      <x:c r="A73" s="48" t="s">
        <x:v>1</x:v>
      </x:c>
      <x:c r="B73" s="48" t="s">
        <x:v>1</x:v>
      </x:c>
      <x:c r="C73" s="48" t="s">
        <x:v>1</x:v>
      </x:c>
      <x:c r="D73" s="48" t="s">
        <x:v>1</x:v>
      </x:c>
      <x:c r="E73" s="50" t="s">
        <x:v>1</x:v>
      </x:c>
      <x:c r="F73" s="48" t="s">
        <x:v>1</x:v>
      </x:c>
      <x:c r="G73" s="48" t="s">
        <x:v>1</x:v>
      </x:c>
      <x:c r="H73" s="48" t="s">
        <x:v>1</x:v>
      </x:c>
      <x:c r="I73" s="48" t="s">
        <x:v>1</x:v>
      </x:c>
      <x:c r="J73" s="48" t="s">
        <x:v>1</x:v>
      </x:c>
      <x:c r="K73" s="48" t="s">
        <x:v>1</x:v>
      </x:c>
      <x:c r="L73" s="48" t="s">
        <x:v>1</x:v>
      </x:c>
      <x:c r="M73" s="48" t="s">
        <x:v>1</x:v>
      </x:c>
      <x:c r="N73" s="48" t="s">
        <x:v>1</x:v>
      </x:c>
      <x:c r="O73" s="48" t="s">
        <x:v>1</x:v>
      </x:c>
      <x:c r="P73" s="48" t="s">
        <x:v>1</x:v>
      </x:c>
      <x:c r="Q73" s="48" t="s">
        <x:v>1</x:v>
      </x:c>
      <x:c r="R73" s="48" t="s">
        <x:v>1</x:v>
      </x:c>
      <x:c r="S73" s="48" t="s">
        <x:v>1</x:v>
      </x:c>
      <x:c r="T73" s="48" t="s">
        <x:v>1</x:v>
      </x:c>
      <x:c r="U73" s="48" t="s">
        <x:v>1</x:v>
      </x:c>
      <x:c r="V73" s="48" t="s">
        <x:v>1</x:v>
      </x:c>
      <x:c r="W73" s="48" t="s">
        <x:v>1</x:v>
      </x:c>
      <x:c r="X73" s="48" t="s">
        <x:v>1</x:v>
      </x:c>
      <x:c r="Y73" s="48" t="s">
        <x:v>1</x:v>
      </x:c>
      <x:c r="Z73" s="48" t="s">
        <x:v>1</x:v>
      </x:c>
      <x:c r="AA73" s="48" t="s">
        <x:v>1</x:v>
      </x:c>
      <x:c r="AB73" s="48" t="s">
        <x:v>1</x:v>
      </x:c>
      <x:c r="AC73" s="48" t="s">
        <x:v>1</x:v>
      </x:c>
      <x:c r="AD73" s="48" t="s">
        <x:v>1</x:v>
      </x:c>
      <x:c r="AE73" s="48" t="s">
        <x:v>1</x:v>
      </x:c>
    </x:row>
    <x:row r="74" ht="21" customHeight="1">
      <x:c r="A74" s="48" t="s">
        <x:v>1</x:v>
      </x:c>
      <x:c r="B74" s="48" t="s">
        <x:v>1</x:v>
      </x:c>
      <x:c r="C74" s="48" t="s">
        <x:v>1</x:v>
      </x:c>
      <x:c r="D74" s="48" t="s">
        <x:v>1</x:v>
      </x:c>
      <x:c r="E74" s="50" t="s">
        <x:v>1</x:v>
      </x:c>
      <x:c r="F74" s="48" t="s">
        <x:v>1</x:v>
      </x:c>
      <x:c r="G74" s="48" t="s">
        <x:v>1</x:v>
      </x:c>
      <x:c r="H74" s="48" t="s">
        <x:v>1</x:v>
      </x:c>
      <x:c r="I74" s="48" t="s">
        <x:v>1</x:v>
      </x:c>
      <x:c r="J74" s="48" t="s">
        <x:v>1</x:v>
      </x:c>
      <x:c r="K74" s="48" t="s">
        <x:v>1</x:v>
      </x:c>
      <x:c r="L74" s="48" t="s">
        <x:v>1</x:v>
      </x:c>
      <x:c r="M74" s="48" t="s">
        <x:v>1</x:v>
      </x:c>
      <x:c r="N74" s="48" t="s">
        <x:v>1</x:v>
      </x:c>
      <x:c r="O74" s="48" t="s">
        <x:v>1</x:v>
      </x:c>
      <x:c r="P74" s="48" t="s">
        <x:v>1</x:v>
      </x:c>
      <x:c r="Q74" s="48" t="s">
        <x:v>1</x:v>
      </x:c>
      <x:c r="R74" s="48" t="s">
        <x:v>1</x:v>
      </x:c>
      <x:c r="S74" s="48" t="s">
        <x:v>1</x:v>
      </x:c>
      <x:c r="T74" s="48" t="s">
        <x:v>1</x:v>
      </x:c>
      <x:c r="U74" s="48" t="s">
        <x:v>1</x:v>
      </x:c>
      <x:c r="V74" s="48" t="s">
        <x:v>1</x:v>
      </x:c>
      <x:c r="W74" s="48" t="s">
        <x:v>1</x:v>
      </x:c>
      <x:c r="X74" s="48" t="s">
        <x:v>1</x:v>
      </x:c>
      <x:c r="Y74" s="48" t="s">
        <x:v>1</x:v>
      </x:c>
      <x:c r="Z74" s="48" t="s">
        <x:v>1</x:v>
      </x:c>
      <x:c r="AA74" s="48" t="s">
        <x:v>1</x:v>
      </x:c>
      <x:c r="AB74" s="48" t="s">
        <x:v>1</x:v>
      </x:c>
      <x:c r="AC74" s="48" t="s">
        <x:v>1</x:v>
      </x:c>
      <x:c r="AD74" s="48" t="s">
        <x:v>1</x:v>
      </x:c>
      <x:c r="AE74" s="48" t="s">
        <x:v>1</x:v>
      </x:c>
    </x:row>
    <x:row r="75" ht="21" customHeight="1">
      <x:c r="A75" s="48" t="s">
        <x:v>1</x:v>
      </x:c>
      <x:c r="B75" s="48" t="s">
        <x:v>1</x:v>
      </x:c>
      <x:c r="C75" s="48" t="s">
        <x:v>1</x:v>
      </x:c>
      <x:c r="D75" s="48" t="s">
        <x:v>1</x:v>
      </x:c>
      <x:c r="E75" s="50" t="s">
        <x:v>1</x:v>
      </x:c>
      <x:c r="F75" s="48" t="s">
        <x:v>1</x:v>
      </x:c>
      <x:c r="G75" s="48" t="s">
        <x:v>1</x:v>
      </x:c>
      <x:c r="H75" s="48" t="s">
        <x:v>1</x:v>
      </x:c>
      <x:c r="I75" s="48" t="s">
        <x:v>1</x:v>
      </x:c>
      <x:c r="J75" s="48" t="s">
        <x:v>1</x:v>
      </x:c>
      <x:c r="K75" s="48" t="s">
        <x:v>1</x:v>
      </x:c>
      <x:c r="L75" s="48" t="s">
        <x:v>1</x:v>
      </x:c>
      <x:c r="M75" s="48" t="s">
        <x:v>1</x:v>
      </x:c>
      <x:c r="N75" s="48" t="s">
        <x:v>1</x:v>
      </x:c>
      <x:c r="O75" s="48" t="s">
        <x:v>1</x:v>
      </x:c>
      <x:c r="P75" s="48" t="s">
        <x:v>1</x:v>
      </x:c>
      <x:c r="Q75" s="48" t="s">
        <x:v>1</x:v>
      </x:c>
      <x:c r="R75" s="48" t="s">
        <x:v>1</x:v>
      </x:c>
      <x:c r="S75" s="48" t="s">
        <x:v>1</x:v>
      </x:c>
      <x:c r="T75" s="48" t="s">
        <x:v>1</x:v>
      </x:c>
      <x:c r="U75" s="48" t="s">
        <x:v>1</x:v>
      </x:c>
      <x:c r="V75" s="48" t="s">
        <x:v>1</x:v>
      </x:c>
      <x:c r="W75" s="48" t="s">
        <x:v>1</x:v>
      </x:c>
      <x:c r="X75" s="48" t="s">
        <x:v>1</x:v>
      </x:c>
      <x:c r="Y75" s="48" t="s">
        <x:v>1</x:v>
      </x:c>
      <x:c r="Z75" s="48" t="s">
        <x:v>1</x:v>
      </x:c>
      <x:c r="AA75" s="48" t="s">
        <x:v>1</x:v>
      </x:c>
      <x:c r="AB75" s="48" t="s">
        <x:v>1</x:v>
      </x:c>
      <x:c r="AC75" s="48" t="s">
        <x:v>1</x:v>
      </x:c>
      <x:c r="AD75" s="48" t="s">
        <x:v>1</x:v>
      </x:c>
      <x:c r="AE75" s="48" t="s">
        <x:v>1</x:v>
      </x:c>
    </x:row>
    <x:row r="76" ht="21" customHeight="1">
      <x:c r="A76" s="48" t="s">
        <x:v>1</x:v>
      </x:c>
      <x:c r="B76" s="48" t="s">
        <x:v>1</x:v>
      </x:c>
      <x:c r="C76" s="48" t="s">
        <x:v>1</x:v>
      </x:c>
      <x:c r="D76" s="48" t="s">
        <x:v>1</x:v>
      </x:c>
      <x:c r="E76" s="50" t="s">
        <x:v>1</x:v>
      </x:c>
      <x:c r="F76" s="48" t="s">
        <x:v>1</x:v>
      </x:c>
      <x:c r="G76" s="48" t="s">
        <x:v>1</x:v>
      </x:c>
      <x:c r="H76" s="48" t="s">
        <x:v>1</x:v>
      </x:c>
      <x:c r="I76" s="48" t="s">
        <x:v>1</x:v>
      </x:c>
      <x:c r="J76" s="48" t="s">
        <x:v>1</x:v>
      </x:c>
      <x:c r="K76" s="48" t="s">
        <x:v>1</x:v>
      </x:c>
      <x:c r="L76" s="48" t="s">
        <x:v>1</x:v>
      </x:c>
      <x:c r="M76" s="48" t="s">
        <x:v>1</x:v>
      </x:c>
      <x:c r="N76" s="48" t="s">
        <x:v>1</x:v>
      </x:c>
      <x:c r="O76" s="48" t="s">
        <x:v>1</x:v>
      </x:c>
      <x:c r="P76" s="48" t="s">
        <x:v>1</x:v>
      </x:c>
      <x:c r="Q76" s="48" t="s">
        <x:v>1</x:v>
      </x:c>
      <x:c r="R76" s="48" t="s">
        <x:v>1</x:v>
      </x:c>
      <x:c r="S76" s="48" t="s">
        <x:v>1</x:v>
      </x:c>
      <x:c r="T76" s="48" t="s">
        <x:v>1</x:v>
      </x:c>
      <x:c r="U76" s="48" t="s">
        <x:v>1</x:v>
      </x:c>
      <x:c r="V76" s="48" t="s">
        <x:v>1</x:v>
      </x:c>
      <x:c r="W76" s="48" t="s">
        <x:v>1</x:v>
      </x:c>
      <x:c r="X76" s="48" t="s">
        <x:v>1</x:v>
      </x:c>
      <x:c r="Y76" s="48" t="s">
        <x:v>1</x:v>
      </x:c>
      <x:c r="Z76" s="48" t="s">
        <x:v>1</x:v>
      </x:c>
      <x:c r="AA76" s="48" t="s">
        <x:v>1</x:v>
      </x:c>
      <x:c r="AB76" s="48" t="s">
        <x:v>1</x:v>
      </x:c>
      <x:c r="AC76" s="48" t="s">
        <x:v>1</x:v>
      </x:c>
      <x:c r="AD76" s="48" t="s">
        <x:v>1</x:v>
      </x:c>
      <x:c r="AE76" s="48" t="s">
        <x:v>1</x:v>
      </x:c>
    </x:row>
    <x:row r="77" ht="21" customHeight="1">
      <x:c r="A77" s="48" t="s">
        <x:v>1</x:v>
      </x:c>
      <x:c r="B77" s="48" t="s">
        <x:v>1</x:v>
      </x:c>
      <x:c r="C77" s="48" t="s">
        <x:v>1</x:v>
      </x:c>
      <x:c r="D77" s="48" t="s">
        <x:v>1</x:v>
      </x:c>
      <x:c r="E77" s="50" t="s">
        <x:v>1</x:v>
      </x:c>
      <x:c r="F77" s="48" t="s">
        <x:v>1</x:v>
      </x:c>
      <x:c r="G77" s="48" t="s">
        <x:v>1</x:v>
      </x:c>
      <x:c r="H77" s="48" t="s">
        <x:v>1</x:v>
      </x:c>
      <x:c r="I77" s="48" t="s">
        <x:v>1</x:v>
      </x:c>
      <x:c r="J77" s="48" t="s">
        <x:v>1</x:v>
      </x:c>
      <x:c r="K77" s="48" t="s">
        <x:v>1</x:v>
      </x:c>
      <x:c r="L77" s="48" t="s">
        <x:v>1</x:v>
      </x:c>
      <x:c r="M77" s="48" t="s">
        <x:v>1</x:v>
      </x:c>
      <x:c r="N77" s="48" t="s">
        <x:v>1</x:v>
      </x:c>
      <x:c r="O77" s="48" t="s">
        <x:v>1</x:v>
      </x:c>
      <x:c r="P77" s="48" t="s">
        <x:v>1</x:v>
      </x:c>
      <x:c r="Q77" s="48" t="s">
        <x:v>1</x:v>
      </x:c>
      <x:c r="R77" s="48" t="s">
        <x:v>1</x:v>
      </x:c>
      <x:c r="S77" s="48" t="s">
        <x:v>1</x:v>
      </x:c>
      <x:c r="T77" s="48" t="s">
        <x:v>1</x:v>
      </x:c>
      <x:c r="U77" s="48" t="s">
        <x:v>1</x:v>
      </x:c>
      <x:c r="V77" s="48" t="s">
        <x:v>1</x:v>
      </x:c>
      <x:c r="W77" s="48" t="s">
        <x:v>1</x:v>
      </x:c>
      <x:c r="X77" s="48" t="s">
        <x:v>1</x:v>
      </x:c>
      <x:c r="Y77" s="48" t="s">
        <x:v>1</x:v>
      </x:c>
      <x:c r="Z77" s="48" t="s">
        <x:v>1</x:v>
      </x:c>
      <x:c r="AA77" s="48" t="s">
        <x:v>1</x:v>
      </x:c>
      <x:c r="AB77" s="48" t="s">
        <x:v>1</x:v>
      </x:c>
      <x:c r="AC77" s="48" t="s">
        <x:v>1</x:v>
      </x:c>
      <x:c r="AD77" s="48" t="s">
        <x:v>1</x:v>
      </x:c>
      <x:c r="AE77" s="48" t="s">
        <x:v>1</x:v>
      </x:c>
    </x:row>
    <x:row r="78" ht="21" customHeight="1">
      <x:c r="A78" s="48" t="s">
        <x:v>1</x:v>
      </x:c>
      <x:c r="B78" s="48" t="s">
        <x:v>1</x:v>
      </x:c>
      <x:c r="C78" s="48" t="s">
        <x:v>1</x:v>
      </x:c>
      <x:c r="D78" s="48" t="s">
        <x:v>1</x:v>
      </x:c>
      <x:c r="E78" s="50" t="s">
        <x:v>1</x:v>
      </x:c>
      <x:c r="F78" s="48" t="s">
        <x:v>1</x:v>
      </x:c>
      <x:c r="G78" s="48" t="s">
        <x:v>1</x:v>
      </x:c>
      <x:c r="H78" s="48" t="s">
        <x:v>1</x:v>
      </x:c>
      <x:c r="I78" s="48" t="s">
        <x:v>1</x:v>
      </x:c>
      <x:c r="J78" s="48" t="s">
        <x:v>1</x:v>
      </x:c>
      <x:c r="K78" s="48" t="s">
        <x:v>1</x:v>
      </x:c>
      <x:c r="L78" s="48" t="s">
        <x:v>1</x:v>
      </x:c>
      <x:c r="M78" s="48" t="s">
        <x:v>1</x:v>
      </x:c>
      <x:c r="N78" s="48" t="s">
        <x:v>1</x:v>
      </x:c>
      <x:c r="O78" s="48" t="s">
        <x:v>1</x:v>
      </x:c>
      <x:c r="P78" s="48" t="s">
        <x:v>1</x:v>
      </x:c>
      <x:c r="Q78" s="48" t="s">
        <x:v>1</x:v>
      </x:c>
      <x:c r="R78" s="48" t="s">
        <x:v>1</x:v>
      </x:c>
      <x:c r="S78" s="48" t="s">
        <x:v>1</x:v>
      </x:c>
      <x:c r="T78" s="48" t="s">
        <x:v>1</x:v>
      </x:c>
      <x:c r="U78" s="48" t="s">
        <x:v>1</x:v>
      </x:c>
      <x:c r="V78" s="48" t="s">
        <x:v>1</x:v>
      </x:c>
      <x:c r="W78" s="48" t="s">
        <x:v>1</x:v>
      </x:c>
      <x:c r="X78" s="48" t="s">
        <x:v>1</x:v>
      </x:c>
      <x:c r="Y78" s="48" t="s">
        <x:v>1</x:v>
      </x:c>
      <x:c r="Z78" s="48" t="s">
        <x:v>1</x:v>
      </x:c>
      <x:c r="AA78" s="48" t="s">
        <x:v>1</x:v>
      </x:c>
      <x:c r="AB78" s="48" t="s">
        <x:v>1</x:v>
      </x:c>
      <x:c r="AC78" s="48" t="s">
        <x:v>1</x:v>
      </x:c>
      <x:c r="AD78" s="48" t="s">
        <x:v>1</x:v>
      </x:c>
      <x:c r="AE78" s="48" t="s">
        <x:v>1</x:v>
      </x:c>
    </x:row>
    <x:row r="79" ht="21" customHeight="1">
      <x:c r="A79" s="48" t="s">
        <x:v>1</x:v>
      </x:c>
      <x:c r="B79" s="48" t="s">
        <x:v>1</x:v>
      </x:c>
      <x:c r="C79" s="48" t="s">
        <x:v>1</x:v>
      </x:c>
      <x:c r="D79" s="48" t="s">
        <x:v>1</x:v>
      </x:c>
      <x:c r="E79" s="50" t="s">
        <x:v>1</x:v>
      </x:c>
      <x:c r="F79" s="48" t="s">
        <x:v>1</x:v>
      </x:c>
      <x:c r="G79" s="48" t="s">
        <x:v>1</x:v>
      </x:c>
      <x:c r="H79" s="48" t="s">
        <x:v>1</x:v>
      </x:c>
      <x:c r="I79" s="48" t="s">
        <x:v>1</x:v>
      </x:c>
      <x:c r="J79" s="48" t="s">
        <x:v>1</x:v>
      </x:c>
      <x:c r="K79" s="48" t="s">
        <x:v>1</x:v>
      </x:c>
      <x:c r="L79" s="48" t="s">
        <x:v>1</x:v>
      </x:c>
      <x:c r="M79" s="48" t="s">
        <x:v>1</x:v>
      </x:c>
      <x:c r="N79" s="48" t="s">
        <x:v>1</x:v>
      </x:c>
      <x:c r="O79" s="48" t="s">
        <x:v>1</x:v>
      </x:c>
      <x:c r="P79" s="48" t="s">
        <x:v>1</x:v>
      </x:c>
      <x:c r="Q79" s="48" t="s">
        <x:v>1</x:v>
      </x:c>
      <x:c r="R79" s="48" t="s">
        <x:v>1</x:v>
      </x:c>
      <x:c r="S79" s="48" t="s">
        <x:v>1</x:v>
      </x:c>
      <x:c r="T79" s="48" t="s">
        <x:v>1</x:v>
      </x:c>
      <x:c r="U79" s="48" t="s">
        <x:v>1</x:v>
      </x:c>
      <x:c r="V79" s="48" t="s">
        <x:v>1</x:v>
      </x:c>
      <x:c r="W79" s="48" t="s">
        <x:v>1</x:v>
      </x:c>
      <x:c r="X79" s="48" t="s">
        <x:v>1</x:v>
      </x:c>
      <x:c r="Y79" s="48" t="s">
        <x:v>1</x:v>
      </x:c>
      <x:c r="Z79" s="48" t="s">
        <x:v>1</x:v>
      </x:c>
      <x:c r="AA79" s="48" t="s">
        <x:v>1</x:v>
      </x:c>
      <x:c r="AB79" s="48" t="s">
        <x:v>1</x:v>
      </x:c>
      <x:c r="AC79" s="48" t="s">
        <x:v>1</x:v>
      </x:c>
      <x:c r="AD79" s="48" t="s">
        <x:v>1</x:v>
      </x:c>
      <x:c r="AE79" s="48" t="s">
        <x:v>1</x:v>
      </x:c>
    </x:row>
    <x:row r="80" ht="21" customHeight="1">
      <x:c r="A80" s="48" t="s">
        <x:v>1</x:v>
      </x:c>
      <x:c r="B80" s="48" t="s">
        <x:v>1</x:v>
      </x:c>
      <x:c r="C80" s="48" t="s">
        <x:v>1</x:v>
      </x:c>
      <x:c r="D80" s="48" t="s">
        <x:v>1</x:v>
      </x:c>
      <x:c r="E80" s="50" t="s">
        <x:v>1</x:v>
      </x:c>
      <x:c r="F80" s="48" t="s">
        <x:v>1</x:v>
      </x:c>
      <x:c r="G80" s="48" t="s">
        <x:v>1</x:v>
      </x:c>
      <x:c r="H80" s="48" t="s">
        <x:v>1</x:v>
      </x:c>
      <x:c r="I80" s="48" t="s">
        <x:v>1</x:v>
      </x:c>
      <x:c r="J80" s="48" t="s">
        <x:v>1</x:v>
      </x:c>
      <x:c r="K80" s="48" t="s">
        <x:v>1</x:v>
      </x:c>
      <x:c r="L80" s="48" t="s">
        <x:v>1</x:v>
      </x:c>
      <x:c r="M80" s="48" t="s">
        <x:v>1</x:v>
      </x:c>
      <x:c r="N80" s="48" t="s">
        <x:v>1</x:v>
      </x:c>
      <x:c r="O80" s="48" t="s">
        <x:v>1</x:v>
      </x:c>
      <x:c r="P80" s="48" t="s">
        <x:v>1</x:v>
      </x:c>
      <x:c r="Q80" s="48" t="s">
        <x:v>1</x:v>
      </x:c>
      <x:c r="R80" s="48" t="s">
        <x:v>1</x:v>
      </x:c>
      <x:c r="S80" s="48" t="s">
        <x:v>1</x:v>
      </x:c>
      <x:c r="T80" s="48" t="s">
        <x:v>1</x:v>
      </x:c>
      <x:c r="U80" s="48" t="s">
        <x:v>1</x:v>
      </x:c>
      <x:c r="V80" s="48" t="s">
        <x:v>1</x:v>
      </x:c>
      <x:c r="W80" s="48" t="s">
        <x:v>1</x:v>
      </x:c>
      <x:c r="X80" s="48" t="s">
        <x:v>1</x:v>
      </x:c>
      <x:c r="Y80" s="48" t="s">
        <x:v>1</x:v>
      </x:c>
      <x:c r="Z80" s="48" t="s">
        <x:v>1</x:v>
      </x:c>
      <x:c r="AA80" s="48" t="s">
        <x:v>1</x:v>
      </x:c>
      <x:c r="AB80" s="48" t="s">
        <x:v>1</x:v>
      </x:c>
      <x:c r="AC80" s="48" t="s">
        <x:v>1</x:v>
      </x:c>
      <x:c r="AD80" s="48" t="s">
        <x:v>1</x:v>
      </x:c>
      <x:c r="AE80" s="48" t="s">
        <x:v>1</x:v>
      </x:c>
    </x:row>
    <x:row r="81" ht="21" customHeight="1">
      <x:c r="A81" s="48" t="s">
        <x:v>1</x:v>
      </x:c>
      <x:c r="B81" s="48" t="s">
        <x:v>1</x:v>
      </x:c>
      <x:c r="C81" s="48" t="s">
        <x:v>1</x:v>
      </x:c>
      <x:c r="D81" s="48" t="s">
        <x:v>1</x:v>
      </x:c>
      <x:c r="E81" s="50" t="s">
        <x:v>1</x:v>
      </x:c>
      <x:c r="F81" s="48" t="s">
        <x:v>1</x:v>
      </x:c>
      <x:c r="G81" s="48" t="s">
        <x:v>1</x:v>
      </x:c>
      <x:c r="H81" s="48" t="s">
        <x:v>1</x:v>
      </x:c>
      <x:c r="I81" s="48" t="s">
        <x:v>1</x:v>
      </x:c>
      <x:c r="J81" s="48" t="s">
        <x:v>1</x:v>
      </x:c>
      <x:c r="K81" s="48" t="s">
        <x:v>1</x:v>
      </x:c>
      <x:c r="L81" s="48" t="s">
        <x:v>1</x:v>
      </x:c>
      <x:c r="M81" s="48" t="s">
        <x:v>1</x:v>
      </x:c>
      <x:c r="N81" s="48" t="s">
        <x:v>1</x:v>
      </x:c>
      <x:c r="O81" s="48" t="s">
        <x:v>1</x:v>
      </x:c>
      <x:c r="P81" s="48" t="s">
        <x:v>1</x:v>
      </x:c>
      <x:c r="Q81" s="48" t="s">
        <x:v>1</x:v>
      </x:c>
      <x:c r="R81" s="48" t="s">
        <x:v>1</x:v>
      </x:c>
      <x:c r="S81" s="48" t="s">
        <x:v>1</x:v>
      </x:c>
      <x:c r="T81" s="48" t="s">
        <x:v>1</x:v>
      </x:c>
      <x:c r="U81" s="48" t="s">
        <x:v>1</x:v>
      </x:c>
      <x:c r="V81" s="48" t="s">
        <x:v>1</x:v>
      </x:c>
      <x:c r="W81" s="48" t="s">
        <x:v>1</x:v>
      </x:c>
      <x:c r="X81" s="48" t="s">
        <x:v>1</x:v>
      </x:c>
      <x:c r="Y81" s="48" t="s">
        <x:v>1</x:v>
      </x:c>
      <x:c r="Z81" s="48" t="s">
        <x:v>1</x:v>
      </x:c>
      <x:c r="AA81" s="48" t="s">
        <x:v>1</x:v>
      </x:c>
      <x:c r="AB81" s="48" t="s">
        <x:v>1</x:v>
      </x:c>
      <x:c r="AC81" s="48" t="s">
        <x:v>1</x:v>
      </x:c>
      <x:c r="AD81" s="48" t="s">
        <x:v>1</x:v>
      </x:c>
      <x:c r="AE81" s="48" t="s">
        <x:v>1</x:v>
      </x:c>
    </x:row>
    <x:row r="82" ht="21" customHeight="1">
      <x:c r="A82" s="48" t="s">
        <x:v>1</x:v>
      </x:c>
      <x:c r="B82" s="48" t="s">
        <x:v>1</x:v>
      </x:c>
      <x:c r="C82" s="48" t="s">
        <x:v>1</x:v>
      </x:c>
      <x:c r="D82" s="48" t="s">
        <x:v>1</x:v>
      </x:c>
      <x:c r="E82" s="50" t="s">
        <x:v>1</x:v>
      </x:c>
      <x:c r="F82" s="48" t="s">
        <x:v>1</x:v>
      </x:c>
      <x:c r="G82" s="48" t="s">
        <x:v>1</x:v>
      </x:c>
      <x:c r="H82" s="48" t="s">
        <x:v>1</x:v>
      </x:c>
      <x:c r="I82" s="48" t="s">
        <x:v>1</x:v>
      </x:c>
      <x:c r="J82" s="48" t="s">
        <x:v>1</x:v>
      </x:c>
      <x:c r="K82" s="48" t="s">
        <x:v>1</x:v>
      </x:c>
      <x:c r="L82" s="48" t="s">
        <x:v>1</x:v>
      </x:c>
      <x:c r="M82" s="48" t="s">
        <x:v>1</x:v>
      </x:c>
      <x:c r="N82" s="48" t="s">
        <x:v>1</x:v>
      </x:c>
      <x:c r="O82" s="48" t="s">
        <x:v>1</x:v>
      </x:c>
      <x:c r="P82" s="48" t="s">
        <x:v>1</x:v>
      </x:c>
      <x:c r="Q82" s="48" t="s">
        <x:v>1</x:v>
      </x:c>
      <x:c r="R82" s="48" t="s">
        <x:v>1</x:v>
      </x:c>
      <x:c r="S82" s="48" t="s">
        <x:v>1</x:v>
      </x:c>
      <x:c r="T82" s="48" t="s">
        <x:v>1</x:v>
      </x:c>
      <x:c r="U82" s="48" t="s">
        <x:v>1</x:v>
      </x:c>
      <x:c r="V82" s="48" t="s">
        <x:v>1</x:v>
      </x:c>
      <x:c r="W82" s="48" t="s">
        <x:v>1</x:v>
      </x:c>
      <x:c r="X82" s="48" t="s">
        <x:v>1</x:v>
      </x:c>
      <x:c r="Y82" s="48" t="s">
        <x:v>1</x:v>
      </x:c>
      <x:c r="Z82" s="48" t="s">
        <x:v>1</x:v>
      </x:c>
      <x:c r="AA82" s="48" t="s">
        <x:v>1</x:v>
      </x:c>
      <x:c r="AB82" s="48" t="s">
        <x:v>1</x:v>
      </x:c>
      <x:c r="AC82" s="48" t="s">
        <x:v>1</x:v>
      </x:c>
      <x:c r="AD82" s="48" t="s">
        <x:v>1</x:v>
      </x:c>
      <x:c r="AE82" s="48" t="s">
        <x:v>1</x:v>
      </x:c>
    </x:row>
    <x:row r="83" ht="21" customHeight="1">
      <x:c r="A83" s="48" t="s">
        <x:v>1</x:v>
      </x:c>
      <x:c r="B83" s="48" t="s">
        <x:v>1</x:v>
      </x:c>
      <x:c r="C83" s="48" t="s">
        <x:v>1</x:v>
      </x:c>
      <x:c r="D83" s="48" t="s">
        <x:v>1</x:v>
      </x:c>
      <x:c r="E83" s="50" t="s">
        <x:v>1</x:v>
      </x:c>
      <x:c r="F83" s="48" t="s">
        <x:v>1</x:v>
      </x:c>
      <x:c r="G83" s="48" t="s">
        <x:v>1</x:v>
      </x:c>
      <x:c r="H83" s="48" t="s">
        <x:v>1</x:v>
      </x:c>
      <x:c r="I83" s="48" t="s">
        <x:v>1</x:v>
      </x:c>
      <x:c r="J83" s="48" t="s">
        <x:v>1</x:v>
      </x:c>
      <x:c r="K83" s="48" t="s">
        <x:v>1</x:v>
      </x:c>
      <x:c r="L83" s="48" t="s">
        <x:v>1</x:v>
      </x:c>
      <x:c r="M83" s="48" t="s">
        <x:v>1</x:v>
      </x:c>
      <x:c r="N83" s="48" t="s">
        <x:v>1</x:v>
      </x:c>
      <x:c r="O83" s="48" t="s">
        <x:v>1</x:v>
      </x:c>
      <x:c r="P83" s="48" t="s">
        <x:v>1</x:v>
      </x:c>
      <x:c r="Q83" s="48" t="s">
        <x:v>1</x:v>
      </x:c>
      <x:c r="R83" s="48" t="s">
        <x:v>1</x:v>
      </x:c>
      <x:c r="S83" s="48" t="s">
        <x:v>1</x:v>
      </x:c>
      <x:c r="T83" s="48" t="s">
        <x:v>1</x:v>
      </x:c>
      <x:c r="U83" s="48" t="s">
        <x:v>1</x:v>
      </x:c>
      <x:c r="V83" s="48" t="s">
        <x:v>1</x:v>
      </x:c>
      <x:c r="W83" s="48" t="s">
        <x:v>1</x:v>
      </x:c>
      <x:c r="X83" s="48" t="s">
        <x:v>1</x:v>
      </x:c>
      <x:c r="Y83" s="48" t="s">
        <x:v>1</x:v>
      </x:c>
      <x:c r="Z83" s="48" t="s">
        <x:v>1</x:v>
      </x:c>
      <x:c r="AA83" s="48" t="s">
        <x:v>1</x:v>
      </x:c>
      <x:c r="AB83" s="48" t="s">
        <x:v>1</x:v>
      </x:c>
      <x:c r="AC83" s="48" t="s">
        <x:v>1</x:v>
      </x:c>
      <x:c r="AD83" s="48" t="s">
        <x:v>1</x:v>
      </x:c>
      <x:c r="AE83" s="48" t="s">
        <x:v>1</x:v>
      </x:c>
    </x:row>
    <x:row r="84" ht="21" customHeight="1">
      <x:c r="A84" s="48" t="s">
        <x:v>1</x:v>
      </x:c>
      <x:c r="B84" s="48" t="s">
        <x:v>1</x:v>
      </x:c>
      <x:c r="C84" s="48" t="s">
        <x:v>1</x:v>
      </x:c>
      <x:c r="D84" s="48" t="s">
        <x:v>1</x:v>
      </x:c>
      <x:c r="E84" s="50" t="s">
        <x:v>1</x:v>
      </x:c>
      <x:c r="F84" s="48" t="s">
        <x:v>1</x:v>
      </x:c>
      <x:c r="G84" s="48" t="s">
        <x:v>1</x:v>
      </x:c>
      <x:c r="H84" s="48" t="s">
        <x:v>1</x:v>
      </x:c>
      <x:c r="I84" s="48" t="s">
        <x:v>1</x:v>
      </x:c>
      <x:c r="J84" s="48" t="s">
        <x:v>1</x:v>
      </x:c>
      <x:c r="K84" s="48" t="s">
        <x:v>1</x:v>
      </x:c>
      <x:c r="L84" s="48" t="s">
        <x:v>1</x:v>
      </x:c>
      <x:c r="M84" s="48" t="s">
        <x:v>1</x:v>
      </x:c>
      <x:c r="N84" s="48" t="s">
        <x:v>1</x:v>
      </x:c>
      <x:c r="O84" s="48" t="s">
        <x:v>1</x:v>
      </x:c>
      <x:c r="P84" s="48" t="s">
        <x:v>1</x:v>
      </x:c>
      <x:c r="Q84" s="48" t="s">
        <x:v>1</x:v>
      </x:c>
      <x:c r="R84" s="48" t="s">
        <x:v>1</x:v>
      </x:c>
      <x:c r="S84" s="48" t="s">
        <x:v>1</x:v>
      </x:c>
      <x:c r="T84" s="48" t="s">
        <x:v>1</x:v>
      </x:c>
      <x:c r="U84" s="48" t="s">
        <x:v>1</x:v>
      </x:c>
      <x:c r="V84" s="48" t="s">
        <x:v>1</x:v>
      </x:c>
      <x:c r="W84" s="48" t="s">
        <x:v>1</x:v>
      </x:c>
      <x:c r="X84" s="48" t="s">
        <x:v>1</x:v>
      </x:c>
      <x:c r="Y84" s="48" t="s">
        <x:v>1</x:v>
      </x:c>
      <x:c r="Z84" s="48" t="s">
        <x:v>1</x:v>
      </x:c>
      <x:c r="AA84" s="48" t="s">
        <x:v>1</x:v>
      </x:c>
      <x:c r="AB84" s="48" t="s">
        <x:v>1</x:v>
      </x:c>
      <x:c r="AC84" s="48" t="s">
        <x:v>1</x:v>
      </x:c>
      <x:c r="AD84" s="48" t="s">
        <x:v>1</x:v>
      </x:c>
      <x:c r="AE84" s="48" t="s">
        <x:v>1</x:v>
      </x:c>
    </x:row>
    <x:row r="85" ht="21" customHeight="1">
      <x:c r="A85" s="48" t="s">
        <x:v>1</x:v>
      </x:c>
      <x:c r="B85" s="48" t="s">
        <x:v>1</x:v>
      </x:c>
      <x:c r="C85" s="48" t="s">
        <x:v>1</x:v>
      </x:c>
      <x:c r="D85" s="48" t="s">
        <x:v>1</x:v>
      </x:c>
      <x:c r="E85" s="50" t="s">
        <x:v>1</x:v>
      </x:c>
      <x:c r="F85" s="48" t="s">
        <x:v>1</x:v>
      </x:c>
      <x:c r="G85" s="48" t="s">
        <x:v>1</x:v>
      </x:c>
      <x:c r="H85" s="48" t="s">
        <x:v>1</x:v>
      </x:c>
      <x:c r="I85" s="48" t="s">
        <x:v>1</x:v>
      </x:c>
      <x:c r="J85" s="48" t="s">
        <x:v>1</x:v>
      </x:c>
      <x:c r="K85" s="48" t="s">
        <x:v>1</x:v>
      </x:c>
      <x:c r="L85" s="48" t="s">
        <x:v>1</x:v>
      </x:c>
      <x:c r="M85" s="48" t="s">
        <x:v>1</x:v>
      </x:c>
      <x:c r="N85" s="48" t="s">
        <x:v>1</x:v>
      </x:c>
      <x:c r="O85" s="48" t="s">
        <x:v>1</x:v>
      </x:c>
      <x:c r="P85" s="48" t="s">
        <x:v>1</x:v>
      </x:c>
      <x:c r="Q85" s="48" t="s">
        <x:v>1</x:v>
      </x:c>
      <x:c r="R85" s="48" t="s">
        <x:v>1</x:v>
      </x:c>
      <x:c r="S85" s="48" t="s">
        <x:v>1</x:v>
      </x:c>
      <x:c r="T85" s="48" t="s">
        <x:v>1</x:v>
      </x:c>
      <x:c r="U85" s="48" t="s">
        <x:v>1</x:v>
      </x:c>
      <x:c r="V85" s="48" t="s">
        <x:v>1</x:v>
      </x:c>
      <x:c r="W85" s="48" t="s">
        <x:v>1</x:v>
      </x:c>
      <x:c r="X85" s="48" t="s">
        <x:v>1</x:v>
      </x:c>
      <x:c r="Y85" s="48" t="s">
        <x:v>1</x:v>
      </x:c>
      <x:c r="Z85" s="48" t="s">
        <x:v>1</x:v>
      </x:c>
      <x:c r="AA85" s="48" t="s">
        <x:v>1</x:v>
      </x:c>
      <x:c r="AB85" s="48" t="s">
        <x:v>1</x:v>
      </x:c>
      <x:c r="AC85" s="48" t="s">
        <x:v>1</x:v>
      </x:c>
      <x:c r="AD85" s="48" t="s">
        <x:v>1</x:v>
      </x:c>
      <x:c r="AE85" s="48" t="s">
        <x:v>1</x:v>
      </x:c>
    </x:row>
    <x:row r="86" ht="21" customHeight="1">
      <x:c r="A86" s="48" t="s">
        <x:v>1</x:v>
      </x:c>
      <x:c r="B86" s="48" t="s">
        <x:v>1</x:v>
      </x:c>
      <x:c r="C86" s="48" t="s">
        <x:v>1</x:v>
      </x:c>
      <x:c r="D86" s="48" t="s">
        <x:v>1</x:v>
      </x:c>
      <x:c r="E86" s="50" t="s">
        <x:v>1</x:v>
      </x:c>
      <x:c r="F86" s="48" t="s">
        <x:v>1</x:v>
      </x:c>
      <x:c r="G86" s="48" t="s">
        <x:v>1</x:v>
      </x:c>
      <x:c r="H86" s="48" t="s">
        <x:v>1</x:v>
      </x:c>
      <x:c r="I86" s="48" t="s">
        <x:v>1</x:v>
      </x:c>
      <x:c r="J86" s="48" t="s">
        <x:v>1</x:v>
      </x:c>
      <x:c r="K86" s="48" t="s">
        <x:v>1</x:v>
      </x:c>
      <x:c r="L86" s="48" t="s">
        <x:v>1</x:v>
      </x:c>
      <x:c r="M86" s="48" t="s">
        <x:v>1</x:v>
      </x:c>
      <x:c r="N86" s="48" t="s">
        <x:v>1</x:v>
      </x:c>
      <x:c r="O86" s="48" t="s">
        <x:v>1</x:v>
      </x:c>
      <x:c r="P86" s="48" t="s">
        <x:v>1</x:v>
      </x:c>
      <x:c r="Q86" s="48" t="s">
        <x:v>1</x:v>
      </x:c>
      <x:c r="R86" s="48" t="s">
        <x:v>1</x:v>
      </x:c>
      <x:c r="S86" s="48" t="s">
        <x:v>1</x:v>
      </x:c>
      <x:c r="T86" s="48" t="s">
        <x:v>1</x:v>
      </x:c>
      <x:c r="U86" s="48" t="s">
        <x:v>1</x:v>
      </x:c>
      <x:c r="V86" s="48" t="s">
        <x:v>1</x:v>
      </x:c>
      <x:c r="W86" s="48" t="s">
        <x:v>1</x:v>
      </x:c>
      <x:c r="X86" s="48" t="s">
        <x:v>1</x:v>
      </x:c>
      <x:c r="Y86" s="48" t="s">
        <x:v>1</x:v>
      </x:c>
      <x:c r="Z86" s="48" t="s">
        <x:v>1</x:v>
      </x:c>
      <x:c r="AA86" s="48" t="s">
        <x:v>1</x:v>
      </x:c>
      <x:c r="AB86" s="48" t="s">
        <x:v>1</x:v>
      </x:c>
      <x:c r="AC86" s="48" t="s">
        <x:v>1</x:v>
      </x:c>
      <x:c r="AD86" s="48" t="s">
        <x:v>1</x:v>
      </x:c>
      <x:c r="AE86" s="48" t="s">
        <x:v>1</x:v>
      </x:c>
    </x:row>
    <x:row r="87">
      <x:c r="B87" s="48" t="s">
        <x:v>1</x:v>
      </x:c>
      <x:c r="C87" s="48" t="s">
        <x:v>1</x:v>
      </x:c>
      <x:c r="D87" s="48" t="s">
        <x:v>1</x:v>
      </x:c>
      <x:c r="E87" s="50" t="s">
        <x:v>1</x:v>
      </x:c>
      <x:c r="F87" s="48" t="s">
        <x:v>1</x:v>
      </x:c>
      <x:c r="G87" s="48" t="s">
        <x:v>1</x:v>
      </x:c>
      <x:c r="H87" s="48" t="s">
        <x:v>1</x:v>
      </x:c>
      <x:c r="I87" s="48" t="s">
        <x:v>1</x:v>
      </x:c>
      <x:c r="J87" s="48" t="s">
        <x:v>1</x:v>
      </x:c>
      <x:c r="K87" s="48" t="s">
        <x:v>1</x:v>
      </x:c>
      <x:c r="L87" s="48" t="s">
        <x:v>1</x:v>
      </x:c>
      <x:c r="M87" s="48" t="s">
        <x:v>1</x:v>
      </x:c>
    </x:row>
    <x:row r="88">
      <x:c r="B88" s="48" t="s">
        <x:v>1</x:v>
      </x:c>
      <x:c r="C88" s="48" t="s">
        <x:v>1</x:v>
      </x:c>
      <x:c r="D88" s="48" t="s">
        <x:v>1</x:v>
      </x:c>
      <x:c r="E88" s="50" t="s">
        <x:v>1</x:v>
      </x:c>
      <x:c r="F88" s="48" t="s">
        <x:v>1</x:v>
      </x:c>
      <x:c r="G88" s="48" t="s">
        <x:v>1</x:v>
      </x:c>
      <x:c r="H88" s="48" t="s">
        <x:v>1</x:v>
      </x:c>
      <x:c r="I88" s="48" t="s">
        <x:v>1</x:v>
      </x:c>
      <x:c r="J88" s="48" t="s">
        <x:v>1</x:v>
      </x:c>
      <x:c r="K88" s="48" t="s">
        <x:v>1</x:v>
      </x:c>
      <x:c r="L88" s="48" t="s">
        <x:v>1</x:v>
      </x:c>
      <x:c r="M88" s="48" t="s">
        <x:v>1</x:v>
      </x:c>
    </x:row>
    <x:row r="89">
      <x:c r="B89" s="48" t="s">
        <x:v>1</x:v>
      </x:c>
      <x:c r="C89" s="48" t="s">
        <x:v>1</x:v>
      </x:c>
      <x:c r="D89" s="48" t="s">
        <x:v>1</x:v>
      </x:c>
      <x:c r="E89" s="50" t="s">
        <x:v>1</x:v>
      </x:c>
      <x:c r="F89" s="48" t="s">
        <x:v>1</x:v>
      </x:c>
      <x:c r="G89" s="48" t="s">
        <x:v>1</x:v>
      </x:c>
      <x:c r="H89" s="48" t="s">
        <x:v>1</x:v>
      </x:c>
      <x:c r="I89" s="48" t="s">
        <x:v>1</x:v>
      </x:c>
      <x:c r="J89" s="48" t="s">
        <x:v>1</x:v>
      </x:c>
      <x:c r="K89" s="48" t="s">
        <x:v>1</x:v>
      </x:c>
      <x:c r="L89" s="48" t="s">
        <x:v>1</x:v>
      </x:c>
      <x:c r="M89" s="48" t="s">
        <x:v>1</x:v>
      </x:c>
    </x:row>
    <x:row r="90">
      <x:c r="B90" s="48" t="s">
        <x:v>1</x:v>
      </x:c>
      <x:c r="C90" s="48" t="s">
        <x:v>1</x:v>
      </x:c>
      <x:c r="D90" s="48" t="s">
        <x:v>1</x:v>
      </x:c>
      <x:c r="E90" s="50" t="s">
        <x:v>1</x:v>
      </x:c>
      <x:c r="F90" s="48" t="s">
        <x:v>1</x:v>
      </x:c>
      <x:c r="G90" s="48" t="s">
        <x:v>1</x:v>
      </x:c>
      <x:c r="H90" s="48" t="s">
        <x:v>1</x:v>
      </x:c>
      <x:c r="I90" s="48" t="s">
        <x:v>1</x:v>
      </x:c>
      <x:c r="J90" s="48" t="s">
        <x:v>1</x:v>
      </x:c>
      <x:c r="K90" s="48" t="s">
        <x:v>1</x:v>
      </x:c>
      <x:c r="L90" s="48" t="s">
        <x:v>1</x:v>
      </x:c>
      <x:c r="M90" s="48" t="s">
        <x:v>1</x:v>
      </x:c>
    </x:row>
    <x:row r="91">
      <x:c r="B91" s="48" t="s">
        <x:v>1</x:v>
      </x:c>
      <x:c r="C91" s="48" t="s">
        <x:v>1</x:v>
      </x:c>
      <x:c r="D91" s="48" t="s">
        <x:v>1</x:v>
      </x:c>
      <x:c r="E91" s="78" t="s">
        <x:v>1</x:v>
      </x:c>
      <x:c r="F91" s="48" t="s">
        <x:v>1</x:v>
      </x:c>
      <x:c r="G91" s="48" t="s">
        <x:v>1</x:v>
      </x:c>
      <x:c r="H91" s="48" t="s">
        <x:v>1</x:v>
      </x:c>
      <x:c r="I91" s="48" t="s">
        <x:v>1</x:v>
      </x:c>
      <x:c r="J91" s="48" t="s">
        <x:v>1</x:v>
      </x:c>
      <x:c r="K91" s="48" t="s">
        <x:v>1</x:v>
      </x:c>
      <x:c r="L91" s="48" t="s">
        <x:v>1</x:v>
      </x:c>
      <x:c r="M91" s="48" t="s">
        <x:v>1</x:v>
      </x:c>
    </x:row>
    <x:row r="92">
      <x:c r="B92" s="48" t="s">
        <x:v>1</x:v>
      </x:c>
      <x:c r="C92" s="48" t="s">
        <x:v>1</x:v>
      </x:c>
      <x:c r="D92" s="48" t="s">
        <x:v>1</x:v>
      </x:c>
      <x:c r="E92" s="78" t="s">
        <x:v>1</x:v>
      </x:c>
      <x:c r="F92" s="48" t="s">
        <x:v>1</x:v>
      </x:c>
      <x:c r="G92" s="48" t="s">
        <x:v>1</x:v>
      </x:c>
      <x:c r="H92" s="48" t="s">
        <x:v>1</x:v>
      </x:c>
      <x:c r="I92" s="48" t="s">
        <x:v>1</x:v>
      </x:c>
      <x:c r="J92" s="48" t="s">
        <x:v>1</x:v>
      </x:c>
      <x:c r="K92" s="48" t="s">
        <x:v>1</x:v>
      </x:c>
      <x:c r="L92" s="48" t="s">
        <x:v>1</x:v>
      </x:c>
      <x:c r="M92" s="48" t="s">
        <x:v>1</x:v>
      </x:c>
    </x:row>
    <x:row r="93">
      <x:c r="B93" s="48" t="s">
        <x:v>1</x:v>
      </x:c>
      <x:c r="C93" s="48" t="s">
        <x:v>1</x:v>
      </x:c>
      <x:c r="D93" s="48" t="s">
        <x:v>1</x:v>
      </x:c>
      <x:c r="E93" s="78" t="s">
        <x:v>1</x:v>
      </x:c>
      <x:c r="F93" s="48" t="s">
        <x:v>1</x:v>
      </x:c>
      <x:c r="G93" s="48" t="s">
        <x:v>1</x:v>
      </x:c>
      <x:c r="H93" s="48" t="s">
        <x:v>1</x:v>
      </x:c>
      <x:c r="I93" s="48" t="s">
        <x:v>1</x:v>
      </x:c>
      <x:c r="J93" s="48" t="s">
        <x:v>1</x:v>
      </x:c>
      <x:c r="K93" s="48" t="s">
        <x:v>1</x:v>
      </x:c>
      <x:c r="L93" s="48" t="s">
        <x:v>1</x:v>
      </x:c>
      <x:c r="M93" s="48" t="s">
        <x:v>1</x:v>
      </x:c>
    </x:row>
    <x:row r="94">
      <x:c r="B94" s="48" t="s">
        <x:v>1</x:v>
      </x:c>
      <x:c r="C94" s="48" t="s">
        <x:v>1</x:v>
      </x:c>
      <x:c r="D94" s="48" t="s">
        <x:v>1</x:v>
      </x:c>
      <x:c r="E94" s="78" t="s">
        <x:v>1</x:v>
      </x:c>
      <x:c r="F94" s="48" t="s">
        <x:v>1</x:v>
      </x:c>
      <x:c r="G94" s="48" t="s">
        <x:v>1</x:v>
      </x:c>
      <x:c r="H94" s="48" t="s">
        <x:v>1</x:v>
      </x:c>
      <x:c r="I94" s="48" t="s">
        <x:v>1</x:v>
      </x:c>
      <x:c r="J94" s="48" t="s">
        <x:v>1</x:v>
      </x:c>
      <x:c r="K94" s="48" t="s">
        <x:v>1</x:v>
      </x:c>
      <x:c r="L94" s="48" t="s">
        <x:v>1</x:v>
      </x:c>
      <x:c r="M94" s="48" t="s">
        <x:v>1</x:v>
      </x:c>
    </x:row>
    <x:row r="95">
      <x:c r="B95" s="48" t="s">
        <x:v>1</x:v>
      </x:c>
      <x:c r="C95" s="48" t="s">
        <x:v>1</x:v>
      </x:c>
      <x:c r="D95" s="48" t="s">
        <x:v>1</x:v>
      </x:c>
      <x:c r="E95" s="78" t="s">
        <x:v>1</x:v>
      </x:c>
      <x:c r="F95" s="48" t="s">
        <x:v>1</x:v>
      </x:c>
      <x:c r="G95" s="48" t="s">
        <x:v>1</x:v>
      </x:c>
      <x:c r="H95" s="48" t="s">
        <x:v>1</x:v>
      </x:c>
      <x:c r="I95" s="48" t="s">
        <x:v>1</x:v>
      </x:c>
      <x:c r="J95" s="48" t="s">
        <x:v>1</x:v>
      </x:c>
      <x:c r="K95" s="48" t="s">
        <x:v>1</x:v>
      </x:c>
      <x:c r="L95" s="48" t="s">
        <x:v>1</x:v>
      </x:c>
      <x:c r="M95" s="48" t="s">
        <x:v>1</x:v>
      </x:c>
    </x:row>
    <x:row r="96">
      <x:c r="B96" s="48" t="s">
        <x:v>1</x:v>
      </x:c>
      <x:c r="C96" s="48" t="s">
        <x:v>1</x:v>
      </x:c>
      <x:c r="D96" s="48" t="s">
        <x:v>1</x:v>
      </x:c>
      <x:c r="E96" s="78" t="s">
        <x:v>1</x:v>
      </x:c>
      <x:c r="F96" s="48" t="s">
        <x:v>1</x:v>
      </x:c>
      <x:c r="G96" s="48" t="s">
        <x:v>1</x:v>
      </x:c>
      <x:c r="H96" s="48" t="s">
        <x:v>1</x:v>
      </x:c>
      <x:c r="I96" s="48" t="s">
        <x:v>1</x:v>
      </x:c>
      <x:c r="J96" s="48" t="s">
        <x:v>1</x:v>
      </x:c>
      <x:c r="K96" s="48" t="s">
        <x:v>1</x:v>
      </x:c>
      <x:c r="L96" s="48" t="s">
        <x:v>1</x:v>
      </x:c>
      <x:c r="M96" s="48" t="s">
        <x:v>1</x:v>
      </x:c>
    </x:row>
    <x:row r="97">
      <x:c r="B97" s="48" t="s">
        <x:v>1</x:v>
      </x:c>
      <x:c r="C97" s="48" t="s">
        <x:v>1</x:v>
      </x:c>
      <x:c r="D97" s="48" t="s">
        <x:v>1</x:v>
      </x:c>
      <x:c r="E97" s="78" t="s">
        <x:v>1</x:v>
      </x:c>
      <x:c r="F97" s="48" t="s">
        <x:v>1</x:v>
      </x:c>
      <x:c r="G97" s="48" t="s">
        <x:v>1</x:v>
      </x:c>
      <x:c r="H97" s="48" t="s">
        <x:v>1</x:v>
      </x:c>
      <x:c r="I97" s="48" t="s">
        <x:v>1</x:v>
      </x:c>
      <x:c r="J97" s="48" t="s">
        <x:v>1</x:v>
      </x:c>
      <x:c r="K97" s="48" t="s">
        <x:v>1</x:v>
      </x:c>
      <x:c r="L97" s="48" t="s">
        <x:v>1</x:v>
      </x:c>
      <x:c r="M97" s="48" t="s">
        <x:v>1</x:v>
      </x:c>
    </x:row>
    <x:row r="98">
      <x:c r="B98" s="48" t="s">
        <x:v>1</x:v>
      </x:c>
      <x:c r="C98" s="48" t="s">
        <x:v>1</x:v>
      </x:c>
      <x:c r="D98" s="48" t="s">
        <x:v>1</x:v>
      </x:c>
      <x:c r="E98" s="78" t="s">
        <x:v>1</x:v>
      </x:c>
      <x:c r="F98" s="48" t="s">
        <x:v>1</x:v>
      </x:c>
      <x:c r="G98" s="48" t="s">
        <x:v>1</x:v>
      </x:c>
      <x:c r="H98" s="48" t="s">
        <x:v>1</x:v>
      </x:c>
      <x:c r="I98" s="48" t="s">
        <x:v>1</x:v>
      </x:c>
      <x:c r="J98" s="48" t="s">
        <x:v>1</x:v>
      </x:c>
      <x:c r="K98" s="48" t="s">
        <x:v>1</x:v>
      </x:c>
      <x:c r="L98" s="48" t="s">
        <x:v>1</x:v>
      </x:c>
      <x:c r="M98" s="48" t="s">
        <x:v>1</x:v>
      </x:c>
    </x:row>
    <x:row r="99">
      <x:c r="B99" s="48" t="s">
        <x:v>1</x:v>
      </x:c>
      <x:c r="C99" s="48" t="s">
        <x:v>1</x:v>
      </x:c>
      <x:c r="D99" s="48" t="s">
        <x:v>1</x:v>
      </x:c>
      <x:c r="E99" s="78" t="s">
        <x:v>1</x:v>
      </x:c>
      <x:c r="F99" s="48" t="s">
        <x:v>1</x:v>
      </x:c>
      <x:c r="G99" s="48" t="s">
        <x:v>1</x:v>
      </x:c>
      <x:c r="H99" s="48" t="s">
        <x:v>1</x:v>
      </x:c>
      <x:c r="I99" s="48" t="s">
        <x:v>1</x:v>
      </x:c>
      <x:c r="J99" s="48" t="s">
        <x:v>1</x:v>
      </x:c>
      <x:c r="K99" s="48" t="s">
        <x:v>1</x:v>
      </x:c>
      <x:c r="L99" s="48" t="s">
        <x:v>1</x:v>
      </x:c>
      <x:c r="M99" s="48" t="s">
        <x:v>1</x:v>
      </x:c>
    </x:row>
    <x:row r="100">
      <x:c r="B100" s="48" t="s">
        <x:v>1</x:v>
      </x:c>
      <x:c r="C100" s="48" t="s">
        <x:v>1</x:v>
      </x:c>
      <x:c r="D100" s="48" t="s">
        <x:v>1</x:v>
      </x:c>
      <x:c r="E100" s="78" t="s">
        <x:v>1</x:v>
      </x:c>
      <x:c r="F100" s="48" t="s">
        <x:v>1</x:v>
      </x:c>
      <x:c r="G100" s="48" t="s">
        <x:v>1</x:v>
      </x:c>
      <x:c r="H100" s="48" t="s">
        <x:v>1</x:v>
      </x:c>
      <x:c r="I100" s="48" t="s">
        <x:v>1</x:v>
      </x:c>
      <x:c r="J100" s="48" t="s">
        <x:v>1</x:v>
      </x:c>
      <x:c r="K100" s="48" t="s">
        <x:v>1</x:v>
      </x:c>
      <x:c r="L100" s="48" t="s">
        <x:v>1</x:v>
      </x:c>
      <x:c r="M100" s="48" t="s">
        <x:v>1</x:v>
      </x:c>
    </x:row>
    <x:row r="101">
      <x:c r="B101" s="48" t="s">
        <x:v>1</x:v>
      </x:c>
      <x:c r="C101" s="48" t="s">
        <x:v>1</x:v>
      </x:c>
      <x:c r="D101" s="48" t="s">
        <x:v>1</x:v>
      </x:c>
      <x:c r="E101" s="78" t="s">
        <x:v>1</x:v>
      </x:c>
      <x:c r="F101" s="48" t="s">
        <x:v>1</x:v>
      </x:c>
      <x:c r="G101" s="48" t="s">
        <x:v>1</x:v>
      </x:c>
      <x:c r="H101" s="48" t="s">
        <x:v>1</x:v>
      </x:c>
      <x:c r="I101" s="48" t="s">
        <x:v>1</x:v>
      </x:c>
      <x:c r="J101" s="48" t="s">
        <x:v>1</x:v>
      </x:c>
      <x:c r="K101" s="48" t="s">
        <x:v>1</x:v>
      </x:c>
      <x:c r="L101" s="48" t="s">
        <x:v>1</x:v>
      </x:c>
      <x:c r="M101" s="48" t="s">
        <x:v>1</x:v>
      </x:c>
    </x:row>
    <x:row r="102">
      <x:c r="B102" s="48" t="s">
        <x:v>1</x:v>
      </x:c>
      <x:c r="C102" s="48" t="s">
        <x:v>1</x:v>
      </x:c>
      <x:c r="D102" s="48" t="s">
        <x:v>1</x:v>
      </x:c>
      <x:c r="E102" s="78" t="s">
        <x:v>1</x:v>
      </x:c>
      <x:c r="F102" s="48" t="s">
        <x:v>1</x:v>
      </x:c>
      <x:c r="G102" s="48" t="s">
        <x:v>1</x:v>
      </x:c>
      <x:c r="H102" s="48" t="s">
        <x:v>1</x:v>
      </x:c>
      <x:c r="I102" s="48" t="s">
        <x:v>1</x:v>
      </x:c>
      <x:c r="J102" s="48" t="s">
        <x:v>1</x:v>
      </x:c>
      <x:c r="K102" s="48" t="s">
        <x:v>1</x:v>
      </x:c>
      <x:c r="L102" s="48" t="s">
        <x:v>1</x:v>
      </x:c>
      <x:c r="M102" s="48" t="s">
        <x:v>1</x:v>
      </x:c>
    </x:row>
    <x:row r="103">
      <x:c r="B103" s="48" t="s">
        <x:v>1</x:v>
      </x:c>
      <x:c r="C103" s="48" t="s">
        <x:v>1</x:v>
      </x:c>
      <x:c r="D103" s="48" t="s">
        <x:v>1</x:v>
      </x:c>
      <x:c r="E103" s="78" t="s">
        <x:v>1</x:v>
      </x:c>
      <x:c r="F103" s="48" t="s">
        <x:v>1</x:v>
      </x:c>
      <x:c r="G103" s="48" t="s">
        <x:v>1</x:v>
      </x:c>
      <x:c r="H103" s="48" t="s">
        <x:v>1</x:v>
      </x:c>
      <x:c r="I103" s="48" t="s">
        <x:v>1</x:v>
      </x:c>
      <x:c r="J103" s="48" t="s">
        <x:v>1</x:v>
      </x:c>
      <x:c r="K103" s="48" t="s">
        <x:v>1</x:v>
      </x:c>
      <x:c r="L103" s="48" t="s">
        <x:v>1</x:v>
      </x:c>
      <x:c r="M103" s="48" t="s">
        <x:v>1</x:v>
      </x:c>
    </x:row>
    <x:row r="104">
      <x:c r="B104" s="48" t="s">
        <x:v>1</x:v>
      </x:c>
      <x:c r="C104" s="48" t="s">
        <x:v>1</x:v>
      </x:c>
      <x:c r="D104" s="48" t="s">
        <x:v>1</x:v>
      </x:c>
      <x:c r="E104" s="78" t="s">
        <x:v>1</x:v>
      </x:c>
      <x:c r="F104" s="48" t="s">
        <x:v>1</x:v>
      </x:c>
      <x:c r="G104" s="48" t="s">
        <x:v>1</x:v>
      </x:c>
      <x:c r="H104" s="48" t="s">
        <x:v>1</x:v>
      </x:c>
      <x:c r="I104" s="48" t="s">
        <x:v>1</x:v>
      </x:c>
      <x:c r="J104" s="48" t="s">
        <x:v>1</x:v>
      </x:c>
      <x:c r="K104" s="48" t="s">
        <x:v>1</x:v>
      </x:c>
      <x:c r="L104" s="48" t="s">
        <x:v>1</x:v>
      </x:c>
      <x:c r="M104" s="48" t="s">
        <x:v>1</x:v>
      </x:c>
    </x:row>
    <x:row r="105">
      <x:c r="B105" s="48" t="s">
        <x:v>1</x:v>
      </x:c>
      <x:c r="C105" s="48" t="s">
        <x:v>1</x:v>
      </x:c>
      <x:c r="D105" s="48" t="s">
        <x:v>1</x:v>
      </x:c>
      <x:c r="E105" s="78" t="s">
        <x:v>1</x:v>
      </x:c>
      <x:c r="F105" s="48" t="s">
        <x:v>1</x:v>
      </x:c>
      <x:c r="G105" s="48" t="s">
        <x:v>1</x:v>
      </x:c>
      <x:c r="H105" s="48" t="s">
        <x:v>1</x:v>
      </x:c>
      <x:c r="I105" s="48" t="s">
        <x:v>1</x:v>
      </x:c>
      <x:c r="J105" s="48" t="s">
        <x:v>1</x:v>
      </x:c>
      <x:c r="K105" s="48" t="s">
        <x:v>1</x:v>
      </x:c>
      <x:c r="L105" s="48" t="s">
        <x:v>1</x:v>
      </x:c>
      <x:c r="M105" s="48" t="s">
        <x:v>1</x:v>
      </x:c>
    </x:row>
    <x:row r="106">
      <x:c r="B106" s="48" t="s">
        <x:v>1</x:v>
      </x:c>
      <x:c r="C106" s="48" t="s">
        <x:v>1</x:v>
      </x:c>
      <x:c r="D106" s="48" t="s">
        <x:v>1</x:v>
      </x:c>
      <x:c r="E106" s="78" t="s">
        <x:v>1</x:v>
      </x:c>
      <x:c r="F106" s="48" t="s">
        <x:v>1</x:v>
      </x:c>
      <x:c r="G106" s="48" t="s">
        <x:v>1</x:v>
      </x:c>
      <x:c r="H106" s="48" t="s">
        <x:v>1</x:v>
      </x:c>
      <x:c r="I106" s="48" t="s">
        <x:v>1</x:v>
      </x:c>
      <x:c r="J106" s="48" t="s">
        <x:v>1</x:v>
      </x:c>
      <x:c r="K106" s="48" t="s">
        <x:v>1</x:v>
      </x:c>
      <x:c r="L106" s="48" t="s">
        <x:v>1</x:v>
      </x:c>
      <x:c r="M106" s="48" t="s">
        <x:v>1</x:v>
      </x:c>
    </x:row>
    <x:row r="107">
      <x:c r="B107" s="48" t="s">
        <x:v>1</x:v>
      </x:c>
      <x:c r="C107" s="48" t="s">
        <x:v>1</x:v>
      </x:c>
      <x:c r="D107" s="48" t="s">
        <x:v>1</x:v>
      </x:c>
      <x:c r="E107" s="78" t="s">
        <x:v>1</x:v>
      </x:c>
      <x:c r="F107" s="48" t="s">
        <x:v>1</x:v>
      </x:c>
      <x:c r="G107" s="48" t="s">
        <x:v>1</x:v>
      </x:c>
      <x:c r="H107" s="48" t="s">
        <x:v>1</x:v>
      </x:c>
      <x:c r="I107" s="48" t="s">
        <x:v>1</x:v>
      </x:c>
      <x:c r="J107" s="48" t="s">
        <x:v>1</x:v>
      </x:c>
      <x:c r="K107" s="48" t="s">
        <x:v>1</x:v>
      </x:c>
      <x:c r="L107" s="48" t="s">
        <x:v>1</x:v>
      </x:c>
      <x:c r="M107" s="48" t="s">
        <x:v>1</x:v>
      </x:c>
    </x:row>
    <x:row r="108">
      <x:c r="B108" s="48" t="s">
        <x:v>1</x:v>
      </x:c>
      <x:c r="C108" s="48" t="s">
        <x:v>1</x:v>
      </x:c>
      <x:c r="D108" s="48" t="s">
        <x:v>1</x:v>
      </x:c>
      <x:c r="E108" s="78" t="s">
        <x:v>1</x:v>
      </x:c>
      <x:c r="F108" s="48" t="s">
        <x:v>1</x:v>
      </x:c>
      <x:c r="G108" s="48" t="s">
        <x:v>1</x:v>
      </x:c>
      <x:c r="H108" s="48" t="s">
        <x:v>1</x:v>
      </x:c>
      <x:c r="I108" s="48" t="s">
        <x:v>1</x:v>
      </x:c>
      <x:c r="J108" s="48" t="s">
        <x:v>1</x:v>
      </x:c>
      <x:c r="K108" s="48" t="s">
        <x:v>1</x:v>
      </x:c>
      <x:c r="L108" s="48" t="s">
        <x:v>1</x:v>
      </x:c>
      <x:c r="M108" s="48" t="s">
        <x:v>1</x:v>
      </x:c>
    </x:row>
    <x:row r="109">
      <x:c r="B109" s="48" t="s">
        <x:v>1</x:v>
      </x:c>
      <x:c r="C109" s="48" t="s">
        <x:v>1</x:v>
      </x:c>
      <x:c r="D109" s="48" t="s">
        <x:v>1</x:v>
      </x:c>
      <x:c r="E109" s="78" t="s">
        <x:v>1</x:v>
      </x:c>
      <x:c r="F109" s="48" t="s">
        <x:v>1</x:v>
      </x:c>
      <x:c r="G109" s="48" t="s">
        <x:v>1</x:v>
      </x:c>
      <x:c r="H109" s="48" t="s">
        <x:v>1</x:v>
      </x:c>
      <x:c r="I109" s="48" t="s">
        <x:v>1</x:v>
      </x:c>
      <x:c r="J109" s="48" t="s">
        <x:v>1</x:v>
      </x:c>
      <x:c r="K109" s="48" t="s">
        <x:v>1</x:v>
      </x:c>
      <x:c r="L109" s="48" t="s">
        <x:v>1</x:v>
      </x:c>
      <x:c r="M109" s="48" t="s">
        <x:v>1</x:v>
      </x:c>
    </x:row>
    <x:row r="110">
      <x:c r="B110" s="48" t="s">
        <x:v>1</x:v>
      </x:c>
      <x:c r="C110" s="48" t="s">
        <x:v>1</x:v>
      </x:c>
      <x:c r="D110" s="48" t="s">
        <x:v>1</x:v>
      </x:c>
      <x:c r="E110" s="78" t="s">
        <x:v>1</x:v>
      </x:c>
      <x:c r="F110" s="48" t="s">
        <x:v>1</x:v>
      </x:c>
      <x:c r="G110" s="48" t="s">
        <x:v>1</x:v>
      </x:c>
      <x:c r="H110" s="48" t="s">
        <x:v>1</x:v>
      </x:c>
      <x:c r="I110" s="48" t="s">
        <x:v>1</x:v>
      </x:c>
      <x:c r="J110" s="48" t="s">
        <x:v>1</x:v>
      </x:c>
      <x:c r="K110" s="48" t="s">
        <x:v>1</x:v>
      </x:c>
      <x:c r="L110" s="48" t="s">
        <x:v>1</x:v>
      </x:c>
      <x:c r="M110" s="48" t="s">
        <x:v>1</x:v>
      </x:c>
    </x:row>
    <x:row r="111">
      <x:c r="B111" s="48" t="s">
        <x:v>1</x:v>
      </x:c>
      <x:c r="C111" s="48" t="s">
        <x:v>1</x:v>
      </x:c>
      <x:c r="D111" s="48" t="s">
        <x:v>1</x:v>
      </x:c>
      <x:c r="E111" s="78" t="s">
        <x:v>1</x:v>
      </x:c>
      <x:c r="F111" s="48" t="s">
        <x:v>1</x:v>
      </x:c>
      <x:c r="G111" s="48" t="s">
        <x:v>1</x:v>
      </x:c>
      <x:c r="H111" s="48" t="s">
        <x:v>1</x:v>
      </x:c>
      <x:c r="I111" s="48" t="s">
        <x:v>1</x:v>
      </x:c>
      <x:c r="J111" s="48" t="s">
        <x:v>1</x:v>
      </x:c>
      <x:c r="K111" s="48" t="s">
        <x:v>1</x:v>
      </x:c>
      <x:c r="L111" s="48" t="s">
        <x:v>1</x:v>
      </x:c>
      <x:c r="M111" s="48" t="s">
        <x:v>1</x:v>
      </x:c>
    </x:row>
    <x:row r="112">
      <x:c r="B112" s="48" t="s">
        <x:v>1</x:v>
      </x:c>
      <x:c r="C112" s="48" t="s">
        <x:v>1</x:v>
      </x:c>
      <x:c r="D112" s="48" t="s">
        <x:v>1</x:v>
      </x:c>
      <x:c r="E112" s="78" t="s">
        <x:v>1</x:v>
      </x:c>
      <x:c r="F112" s="48" t="s">
        <x:v>1</x:v>
      </x:c>
      <x:c r="G112" s="48" t="s">
        <x:v>1</x:v>
      </x:c>
      <x:c r="H112" s="48" t="s">
        <x:v>1</x:v>
      </x:c>
      <x:c r="I112" s="48" t="s">
        <x:v>1</x:v>
      </x:c>
      <x:c r="J112" s="48" t="s">
        <x:v>1</x:v>
      </x:c>
      <x:c r="K112" s="48" t="s">
        <x:v>1</x:v>
      </x:c>
      <x:c r="L112" s="48" t="s">
        <x:v>1</x:v>
      </x:c>
      <x:c r="M112" s="48" t="s">
        <x:v>1</x:v>
      </x:c>
    </x:row>
    <x:row r="113">
      <x:c r="B113" s="48" t="s">
        <x:v>1</x:v>
      </x:c>
      <x:c r="C113" s="48" t="s">
        <x:v>1</x:v>
      </x:c>
      <x:c r="D113" s="48" t="s">
        <x:v>1</x:v>
      </x:c>
      <x:c r="E113" s="78" t="s">
        <x:v>1</x:v>
      </x:c>
      <x:c r="F113" s="48" t="s">
        <x:v>1</x:v>
      </x:c>
      <x:c r="G113" s="48" t="s">
        <x:v>1</x:v>
      </x:c>
      <x:c r="H113" s="48" t="s">
        <x:v>1</x:v>
      </x:c>
      <x:c r="I113" s="48" t="s">
        <x:v>1</x:v>
      </x:c>
      <x:c r="J113" s="48" t="s">
        <x:v>1</x:v>
      </x:c>
      <x:c r="K113" s="48" t="s">
        <x:v>1</x:v>
      </x:c>
      <x:c r="L113" s="48" t="s">
        <x:v>1</x:v>
      </x:c>
      <x:c r="M113" s="48" t="s">
        <x:v>1</x:v>
      </x:c>
    </x:row>
    <x:row r="114">
      <x:c r="B114" s="48" t="s">
        <x:v>1</x:v>
      </x:c>
      <x:c r="C114" s="48" t="s">
        <x:v>1</x:v>
      </x:c>
      <x:c r="D114" s="48" t="s">
        <x:v>1</x:v>
      </x:c>
      <x:c r="E114" s="78" t="s">
        <x:v>1</x:v>
      </x:c>
      <x:c r="F114" s="48" t="s">
        <x:v>1</x:v>
      </x:c>
      <x:c r="G114" s="48" t="s">
        <x:v>1</x:v>
      </x:c>
      <x:c r="H114" s="48" t="s">
        <x:v>1</x:v>
      </x:c>
      <x:c r="I114" s="48" t="s">
        <x:v>1</x:v>
      </x:c>
      <x:c r="J114" s="48" t="s">
        <x:v>1</x:v>
      </x:c>
      <x:c r="K114" s="48" t="s">
        <x:v>1</x:v>
      </x:c>
      <x:c r="L114" s="48" t="s">
        <x:v>1</x:v>
      </x:c>
      <x:c r="M114" s="48" t="s">
        <x:v>1</x:v>
      </x:c>
    </x:row>
    <x:row r="115">
      <x:c r="B115" s="48" t="s">
        <x:v>1</x:v>
      </x:c>
      <x:c r="C115" s="48" t="s">
        <x:v>1</x:v>
      </x:c>
      <x:c r="D115" s="48" t="s">
        <x:v>1</x:v>
      </x:c>
      <x:c r="E115" s="78" t="s">
        <x:v>1</x:v>
      </x:c>
      <x:c r="F115" s="48" t="s">
        <x:v>1</x:v>
      </x:c>
      <x:c r="G115" s="48" t="s">
        <x:v>1</x:v>
      </x:c>
      <x:c r="H115" s="48" t="s">
        <x:v>1</x:v>
      </x:c>
      <x:c r="I115" s="48" t="s">
        <x:v>1</x:v>
      </x:c>
      <x:c r="J115" s="48" t="s">
        <x:v>1</x:v>
      </x:c>
      <x:c r="K115" s="48" t="s">
        <x:v>1</x:v>
      </x:c>
      <x:c r="L115" s="48" t="s">
        <x:v>1</x:v>
      </x:c>
      <x:c r="M115" s="48" t="s">
        <x:v>1</x:v>
      </x:c>
    </x:row>
    <x:row r="116">
      <x:c r="B116" s="48" t="s">
        <x:v>1</x:v>
      </x:c>
      <x:c r="C116" s="48" t="s">
        <x:v>1</x:v>
      </x:c>
      <x:c r="D116" s="48" t="s">
        <x:v>1</x:v>
      </x:c>
      <x:c r="E116" s="78" t="s">
        <x:v>1</x:v>
      </x:c>
      <x:c r="F116" s="48" t="s">
        <x:v>1</x:v>
      </x:c>
      <x:c r="G116" s="48" t="s">
        <x:v>1</x:v>
      </x:c>
      <x:c r="H116" s="48" t="s">
        <x:v>1</x:v>
      </x:c>
      <x:c r="I116" s="48" t="s">
        <x:v>1</x:v>
      </x:c>
      <x:c r="J116" s="48" t="s">
        <x:v>1</x:v>
      </x:c>
      <x:c r="K116" s="48" t="s">
        <x:v>1</x:v>
      </x:c>
      <x:c r="L116" s="48" t="s">
        <x:v>1</x:v>
      </x:c>
      <x:c r="M116" s="48" t="s">
        <x:v>1</x:v>
      </x:c>
    </x:row>
    <x:row r="117">
      <x:c r="B117" s="48" t="s">
        <x:v>1</x:v>
      </x:c>
      <x:c r="C117" s="48" t="s">
        <x:v>1</x:v>
      </x:c>
      <x:c r="D117" s="48" t="s">
        <x:v>1</x:v>
      </x:c>
      <x:c r="E117" s="78" t="s">
        <x:v>1</x:v>
      </x:c>
      <x:c r="F117" s="48" t="s">
        <x:v>1</x:v>
      </x:c>
      <x:c r="G117" s="48" t="s">
        <x:v>1</x:v>
      </x:c>
      <x:c r="H117" s="48" t="s">
        <x:v>1</x:v>
      </x:c>
      <x:c r="I117" s="48" t="s">
        <x:v>1</x:v>
      </x:c>
      <x:c r="J117" s="48" t="s">
        <x:v>1</x:v>
      </x:c>
      <x:c r="K117" s="48" t="s">
        <x:v>1</x:v>
      </x:c>
      <x:c r="L117" s="48" t="s">
        <x:v>1</x:v>
      </x:c>
      <x:c r="M117" s="48" t="s">
        <x:v>1</x:v>
      </x:c>
    </x:row>
    <x:row r="118">
      <x:c r="B118" s="48" t="s">
        <x:v>1</x:v>
      </x:c>
      <x:c r="C118" s="48" t="s">
        <x:v>1</x:v>
      </x:c>
      <x:c r="D118" s="48" t="s">
        <x:v>1</x:v>
      </x:c>
      <x:c r="E118" s="78" t="s">
        <x:v>1</x:v>
      </x:c>
      <x:c r="F118" s="48" t="s">
        <x:v>1</x:v>
      </x:c>
      <x:c r="G118" s="48" t="s">
        <x:v>1</x:v>
      </x:c>
      <x:c r="H118" s="48" t="s">
        <x:v>1</x:v>
      </x:c>
      <x:c r="I118" s="48" t="s">
        <x:v>1</x:v>
      </x:c>
      <x:c r="J118" s="48" t="s">
        <x:v>1</x:v>
      </x:c>
      <x:c r="K118" s="48" t="s">
        <x:v>1</x:v>
      </x:c>
      <x:c r="L118" s="48" t="s">
        <x:v>1</x:v>
      </x:c>
      <x:c r="M118" s="48" t="s">
        <x:v>1</x:v>
      </x:c>
    </x:row>
    <x:row r="119">
      <x:c r="B119" s="48" t="s">
        <x:v>1</x:v>
      </x:c>
      <x:c r="C119" s="48" t="s">
        <x:v>1</x:v>
      </x:c>
      <x:c r="D119" s="48" t="s">
        <x:v>1</x:v>
      </x:c>
      <x:c r="E119" s="78" t="s">
        <x:v>1</x:v>
      </x:c>
      <x:c r="F119" s="48" t="s">
        <x:v>1</x:v>
      </x:c>
      <x:c r="G119" s="48" t="s">
        <x:v>1</x:v>
      </x:c>
      <x:c r="H119" s="48" t="s">
        <x:v>1</x:v>
      </x:c>
      <x:c r="I119" s="48" t="s">
        <x:v>1</x:v>
      </x:c>
      <x:c r="J119" s="48" t="s">
        <x:v>1</x:v>
      </x:c>
      <x:c r="K119" s="48" t="s">
        <x:v>1</x:v>
      </x:c>
      <x:c r="L119" s="48" t="s">
        <x:v>1</x:v>
      </x:c>
      <x:c r="M119" s="48" t="s">
        <x:v>1</x:v>
      </x:c>
    </x:row>
    <x:row r="120">
      <x:c r="B120" s="48" t="s">
        <x:v>1</x:v>
      </x:c>
      <x:c r="C120" s="48" t="s">
        <x:v>1</x:v>
      </x:c>
      <x:c r="D120" s="48" t="s">
        <x:v>1</x:v>
      </x:c>
      <x:c r="E120" s="78" t="s">
        <x:v>1</x:v>
      </x:c>
      <x:c r="F120" s="48" t="s">
        <x:v>1</x:v>
      </x:c>
      <x:c r="G120" s="48" t="s">
        <x:v>1</x:v>
      </x:c>
      <x:c r="H120" s="48" t="s">
        <x:v>1</x:v>
      </x:c>
      <x:c r="I120" s="48" t="s">
        <x:v>1</x:v>
      </x:c>
      <x:c r="J120" s="48" t="s">
        <x:v>1</x:v>
      </x:c>
      <x:c r="K120" s="48" t="s">
        <x:v>1</x:v>
      </x:c>
      <x:c r="L120" s="48" t="s">
        <x:v>1</x:v>
      </x:c>
      <x:c r="M120" s="48" t="s">
        <x:v>1</x:v>
      </x:c>
    </x:row>
    <x:row r="121">
      <x:c r="B121" s="48" t="s">
        <x:v>1</x:v>
      </x:c>
      <x:c r="C121" s="48" t="s">
        <x:v>1</x:v>
      </x:c>
      <x:c r="D121" s="48" t="s">
        <x:v>1</x:v>
      </x:c>
      <x:c r="E121" s="78" t="s">
        <x:v>1</x:v>
      </x:c>
      <x:c r="F121" s="48" t="s">
        <x:v>1</x:v>
      </x:c>
      <x:c r="G121" s="48" t="s">
        <x:v>1</x:v>
      </x:c>
      <x:c r="H121" s="48" t="s">
        <x:v>1</x:v>
      </x:c>
      <x:c r="I121" s="48" t="s">
        <x:v>1</x:v>
      </x:c>
      <x:c r="J121" s="48" t="s">
        <x:v>1</x:v>
      </x:c>
      <x:c r="K121" s="48" t="s">
        <x:v>1</x:v>
      </x:c>
      <x:c r="L121" s="48" t="s">
        <x:v>1</x:v>
      </x:c>
      <x:c r="M121" s="48" t="s">
        <x:v>1</x:v>
      </x:c>
    </x:row>
    <x:row r="122">
      <x:c r="B122" s="48" t="s">
        <x:v>1</x:v>
      </x:c>
      <x:c r="C122" s="48" t="s">
        <x:v>1</x:v>
      </x:c>
      <x:c r="D122" s="48" t="s">
        <x:v>1</x:v>
      </x:c>
      <x:c r="E122" s="78" t="s">
        <x:v>1</x:v>
      </x:c>
      <x:c r="F122" s="48" t="s">
        <x:v>1</x:v>
      </x:c>
      <x:c r="G122" s="48" t="s">
        <x:v>1</x:v>
      </x:c>
      <x:c r="H122" s="48" t="s">
        <x:v>1</x:v>
      </x:c>
      <x:c r="I122" s="48" t="s">
        <x:v>1</x:v>
      </x:c>
      <x:c r="J122" s="48" t="s">
        <x:v>1</x:v>
      </x:c>
      <x:c r="K122" s="48" t="s">
        <x:v>1</x:v>
      </x:c>
      <x:c r="L122" s="48" t="s">
        <x:v>1</x:v>
      </x:c>
      <x:c r="M122" s="48" t="s">
        <x:v>1</x:v>
      </x:c>
    </x:row>
    <x:row r="123">
      <x:c r="B123" s="48" t="s">
        <x:v>1</x:v>
      </x:c>
      <x:c r="C123" s="48" t="s">
        <x:v>1</x:v>
      </x:c>
      <x:c r="D123" s="48" t="s">
        <x:v>1</x:v>
      </x:c>
      <x:c r="E123" s="78" t="s">
        <x:v>1</x:v>
      </x:c>
      <x:c r="F123" s="48" t="s">
        <x:v>1</x:v>
      </x:c>
      <x:c r="G123" s="48" t="s">
        <x:v>1</x:v>
      </x:c>
      <x:c r="H123" s="48" t="s">
        <x:v>1</x:v>
      </x:c>
      <x:c r="I123" s="48" t="s">
        <x:v>1</x:v>
      </x:c>
      <x:c r="J123" s="48" t="s">
        <x:v>1</x:v>
      </x:c>
      <x:c r="K123" s="48" t="s">
        <x:v>1</x:v>
      </x:c>
      <x:c r="L123" s="48" t="s">
        <x:v>1</x:v>
      </x:c>
      <x:c r="M123" s="48" t="s">
        <x:v>1</x:v>
      </x:c>
    </x:row>
    <x:row r="124">
      <x:c r="B124" s="48" t="s">
        <x:v>1</x:v>
      </x:c>
      <x:c r="C124" s="48" t="s">
        <x:v>1</x:v>
      </x:c>
      <x:c r="D124" s="48" t="s">
        <x:v>1</x:v>
      </x:c>
      <x:c r="E124" s="78" t="s">
        <x:v>1</x:v>
      </x:c>
      <x:c r="F124" s="48" t="s">
        <x:v>1</x:v>
      </x:c>
      <x:c r="G124" s="48" t="s">
        <x:v>1</x:v>
      </x:c>
      <x:c r="H124" s="48" t="s">
        <x:v>1</x:v>
      </x:c>
      <x:c r="I124" s="48" t="s">
        <x:v>1</x:v>
      </x:c>
      <x:c r="J124" s="48" t="s">
        <x:v>1</x:v>
      </x:c>
      <x:c r="K124" s="48" t="s">
        <x:v>1</x:v>
      </x:c>
      <x:c r="L124" s="48" t="s">
        <x:v>1</x:v>
      </x:c>
      <x:c r="M124" s="48" t="s">
        <x:v>1</x:v>
      </x:c>
    </x:row>
    <x:row r="125">
      <x:c r="B125" s="48" t="s">
        <x:v>1</x:v>
      </x:c>
      <x:c r="C125" s="48" t="s">
        <x:v>1</x:v>
      </x:c>
      <x:c r="D125" s="48" t="s">
        <x:v>1</x:v>
      </x:c>
      <x:c r="E125" s="78" t="s">
        <x:v>1</x:v>
      </x:c>
      <x:c r="F125" s="48" t="s">
        <x:v>1</x:v>
      </x:c>
      <x:c r="G125" s="48" t="s">
        <x:v>1</x:v>
      </x:c>
      <x:c r="H125" s="48" t="s">
        <x:v>1</x:v>
      </x:c>
      <x:c r="I125" s="48" t="s">
        <x:v>1</x:v>
      </x:c>
      <x:c r="J125" s="48" t="s">
        <x:v>1</x:v>
      </x:c>
      <x:c r="K125" s="48" t="s">
        <x:v>1</x:v>
      </x:c>
      <x:c r="L125" s="48" t="s">
        <x:v>1</x:v>
      </x:c>
      <x:c r="M125" s="48" t="s">
        <x:v>1</x:v>
      </x:c>
    </x:row>
    <x:row r="126">
      <x:c r="B126" s="48" t="s">
        <x:v>1</x:v>
      </x:c>
      <x:c r="C126" s="48" t="s">
        <x:v>1</x:v>
      </x:c>
      <x:c r="D126" s="48" t="s">
        <x:v>1</x:v>
      </x:c>
      <x:c r="E126" s="78" t="s">
        <x:v>1</x:v>
      </x:c>
      <x:c r="F126" s="48" t="s">
        <x:v>1</x:v>
      </x:c>
      <x:c r="G126" s="48" t="s">
        <x:v>1</x:v>
      </x:c>
      <x:c r="H126" s="48" t="s">
        <x:v>1</x:v>
      </x:c>
      <x:c r="I126" s="48" t="s">
        <x:v>1</x:v>
      </x:c>
      <x:c r="J126" s="48" t="s">
        <x:v>1</x:v>
      </x:c>
      <x:c r="K126" s="48" t="s">
        <x:v>1</x:v>
      </x:c>
      <x:c r="L126" s="48" t="s">
        <x:v>1</x:v>
      </x:c>
      <x:c r="M126" s="48" t="s">
        <x:v>1</x:v>
      </x:c>
    </x:row>
    <x:row r="127">
      <x:c r="B127" s="48" t="s">
        <x:v>1</x:v>
      </x:c>
      <x:c r="C127" s="48" t="s">
        <x:v>1</x:v>
      </x:c>
      <x:c r="D127" s="48" t="s">
        <x:v>1</x:v>
      </x:c>
      <x:c r="E127" s="78" t="s">
        <x:v>1</x:v>
      </x:c>
      <x:c r="F127" s="48" t="s">
        <x:v>1</x:v>
      </x:c>
      <x:c r="G127" s="48" t="s">
        <x:v>1</x:v>
      </x:c>
      <x:c r="H127" s="48" t="s">
        <x:v>1</x:v>
      </x:c>
      <x:c r="I127" s="48" t="s">
        <x:v>1</x:v>
      </x:c>
      <x:c r="J127" s="48" t="s">
        <x:v>1</x:v>
      </x:c>
      <x:c r="K127" s="48" t="s">
        <x:v>1</x:v>
      </x:c>
      <x:c r="L127" s="48" t="s">
        <x:v>1</x:v>
      </x:c>
      <x:c r="M127" s="48" t="s">
        <x:v>1</x:v>
      </x:c>
    </x:row>
    <x:row r="128">
      <x:c r="B128" s="48" t="s">
        <x:v>1</x:v>
      </x:c>
      <x:c r="C128" s="48" t="s">
        <x:v>1</x:v>
      </x:c>
      <x:c r="D128" s="48" t="s">
        <x:v>1</x:v>
      </x:c>
      <x:c r="E128" s="78" t="s">
        <x:v>1</x:v>
      </x:c>
      <x:c r="F128" s="48" t="s">
        <x:v>1</x:v>
      </x:c>
      <x:c r="G128" s="48" t="s">
        <x:v>1</x:v>
      </x:c>
      <x:c r="H128" s="48" t="s">
        <x:v>1</x:v>
      </x:c>
      <x:c r="I128" s="48" t="s">
        <x:v>1</x:v>
      </x:c>
      <x:c r="J128" s="48" t="s">
        <x:v>1</x:v>
      </x:c>
      <x:c r="K128" s="48" t="s">
        <x:v>1</x:v>
      </x:c>
      <x:c r="L128" s="48" t="s">
        <x:v>1</x:v>
      </x:c>
      <x:c r="M128" s="48" t="s">
        <x:v>1</x:v>
      </x:c>
    </x:row>
    <x:row r="129">
      <x:c r="B129" s="48" t="s">
        <x:v>1</x:v>
      </x:c>
      <x:c r="C129" s="48" t="s">
        <x:v>1</x:v>
      </x:c>
      <x:c r="D129" s="48" t="s">
        <x:v>1</x:v>
      </x:c>
      <x:c r="E129" s="78" t="s">
        <x:v>1</x:v>
      </x:c>
      <x:c r="F129" s="48" t="s">
        <x:v>1</x:v>
      </x:c>
      <x:c r="G129" s="48" t="s">
        <x:v>1</x:v>
      </x:c>
      <x:c r="H129" s="48" t="s">
        <x:v>1</x:v>
      </x:c>
      <x:c r="I129" s="48" t="s">
        <x:v>1</x:v>
      </x:c>
      <x:c r="J129" s="48" t="s">
        <x:v>1</x:v>
      </x:c>
      <x:c r="K129" s="48" t="s">
        <x:v>1</x:v>
      </x:c>
      <x:c r="L129" s="48" t="s">
        <x:v>1</x:v>
      </x:c>
      <x:c r="M129" s="48" t="s">
        <x:v>1</x:v>
      </x:c>
    </x:row>
    <x:row r="130">
      <x:c r="B130" s="48" t="s">
        <x:v>1</x:v>
      </x:c>
      <x:c r="C130" s="48" t="s">
        <x:v>1</x:v>
      </x:c>
      <x:c r="D130" s="48" t="s">
        <x:v>1</x:v>
      </x:c>
      <x:c r="E130" s="78" t="s">
        <x:v>1</x:v>
      </x:c>
      <x:c r="F130" s="48" t="s">
        <x:v>1</x:v>
      </x:c>
      <x:c r="G130" s="48" t="s">
        <x:v>1</x:v>
      </x:c>
      <x:c r="H130" s="48" t="s">
        <x:v>1</x:v>
      </x:c>
      <x:c r="I130" s="48" t="s">
        <x:v>1</x:v>
      </x:c>
      <x:c r="J130" s="48" t="s">
        <x:v>1</x:v>
      </x:c>
      <x:c r="K130" s="48" t="s">
        <x:v>1</x:v>
      </x:c>
      <x:c r="L130" s="48" t="s">
        <x:v>1</x:v>
      </x:c>
      <x:c r="M130" s="48" t="s">
        <x:v>1</x:v>
      </x:c>
    </x:row>
    <x:row r="131">
      <x:c r="B131" s="48" t="s">
        <x:v>1</x:v>
      </x:c>
      <x:c r="C131" s="48" t="s">
        <x:v>1</x:v>
      </x:c>
      <x:c r="D131" s="48" t="s">
        <x:v>1</x:v>
      </x:c>
      <x:c r="E131" s="78" t="s">
        <x:v>1</x:v>
      </x:c>
      <x:c r="F131" s="48" t="s">
        <x:v>1</x:v>
      </x:c>
      <x:c r="G131" s="48" t="s">
        <x:v>1</x:v>
      </x:c>
      <x:c r="H131" s="48" t="s">
        <x:v>1</x:v>
      </x:c>
      <x:c r="I131" s="48" t="s">
        <x:v>1</x:v>
      </x:c>
      <x:c r="J131" s="48" t="s">
        <x:v>1</x:v>
      </x:c>
      <x:c r="K131" s="48" t="s">
        <x:v>1</x:v>
      </x:c>
      <x:c r="L131" s="48" t="s">
        <x:v>1</x:v>
      </x:c>
      <x:c r="M131" s="48" t="s">
        <x:v>1</x:v>
      </x:c>
    </x:row>
    <x:row r="132">
      <x:c r="B132" s="48" t="s">
        <x:v>1</x:v>
      </x:c>
      <x:c r="C132" s="48" t="s">
        <x:v>1</x:v>
      </x:c>
      <x:c r="D132" s="48" t="s">
        <x:v>1</x:v>
      </x:c>
      <x:c r="E132" s="78" t="s">
        <x:v>1</x:v>
      </x:c>
      <x:c r="F132" s="48" t="s">
        <x:v>1</x:v>
      </x:c>
      <x:c r="G132" s="48" t="s">
        <x:v>1</x:v>
      </x:c>
      <x:c r="H132" s="48" t="s">
        <x:v>1</x:v>
      </x:c>
      <x:c r="I132" s="48" t="s">
        <x:v>1</x:v>
      </x:c>
      <x:c r="J132" s="48" t="s">
        <x:v>1</x:v>
      </x:c>
      <x:c r="K132" s="48" t="s">
        <x:v>1</x:v>
      </x:c>
      <x:c r="L132" s="48" t="s">
        <x:v>1</x:v>
      </x:c>
      <x:c r="M132" s="48" t="s">
        <x:v>1</x:v>
      </x:c>
    </x:row>
    <x:row r="133">
      <x:c r="B133" s="48" t="s">
        <x:v>1</x:v>
      </x:c>
      <x:c r="C133" s="48" t="s">
        <x:v>1</x:v>
      </x:c>
      <x:c r="D133" s="48" t="s">
        <x:v>1</x:v>
      </x:c>
      <x:c r="E133" s="78" t="s">
        <x:v>1</x:v>
      </x:c>
      <x:c r="F133" s="48" t="s">
        <x:v>1</x:v>
      </x:c>
      <x:c r="G133" s="48" t="s">
        <x:v>1</x:v>
      </x:c>
      <x:c r="H133" s="48" t="s">
        <x:v>1</x:v>
      </x:c>
      <x:c r="I133" s="48" t="s">
        <x:v>1</x:v>
      </x:c>
      <x:c r="J133" s="48" t="s">
        <x:v>1</x:v>
      </x:c>
      <x:c r="K133" s="48" t="s">
        <x:v>1</x:v>
      </x:c>
      <x:c r="L133" s="48" t="s">
        <x:v>1</x:v>
      </x:c>
      <x:c r="M133" s="48" t="s">
        <x:v>1</x:v>
      </x:c>
    </x:row>
    <x:row r="134">
      <x:c r="B134" s="48" t="s">
        <x:v>1</x:v>
      </x:c>
      <x:c r="C134" s="48" t="s">
        <x:v>1</x:v>
      </x:c>
      <x:c r="D134" s="48" t="s">
        <x:v>1</x:v>
      </x:c>
      <x:c r="E134" s="78" t="s">
        <x:v>1</x:v>
      </x:c>
      <x:c r="F134" s="48" t="s">
        <x:v>1</x:v>
      </x:c>
      <x:c r="G134" s="48" t="s">
        <x:v>1</x:v>
      </x:c>
      <x:c r="H134" s="48" t="s">
        <x:v>1</x:v>
      </x:c>
      <x:c r="I134" s="48" t="s">
        <x:v>1</x:v>
      </x:c>
      <x:c r="J134" s="48" t="s">
        <x:v>1</x:v>
      </x:c>
      <x:c r="K134" s="48" t="s">
        <x:v>1</x:v>
      </x:c>
      <x:c r="L134" s="48" t="s">
        <x:v>1</x:v>
      </x:c>
      <x:c r="M134" s="48" t="s">
        <x:v>1</x:v>
      </x:c>
    </x:row>
    <x:row r="135">
      <x:c r="B135" s="48" t="s">
        <x:v>1</x:v>
      </x:c>
      <x:c r="C135" s="48" t="s">
        <x:v>1</x:v>
      </x:c>
      <x:c r="D135" s="48" t="s">
        <x:v>1</x:v>
      </x:c>
      <x:c r="E135" s="78" t="s">
        <x:v>1</x:v>
      </x:c>
      <x:c r="F135" s="48" t="s">
        <x:v>1</x:v>
      </x:c>
      <x:c r="G135" s="48" t="s">
        <x:v>1</x:v>
      </x:c>
      <x:c r="H135" s="48" t="s">
        <x:v>1</x:v>
      </x:c>
      <x:c r="I135" s="48" t="s">
        <x:v>1</x:v>
      </x:c>
      <x:c r="J135" s="48" t="s">
        <x:v>1</x:v>
      </x:c>
      <x:c r="K135" s="48" t="s">
        <x:v>1</x:v>
      </x:c>
      <x:c r="L135" s="48" t="s">
        <x:v>1</x:v>
      </x:c>
      <x:c r="M135" s="48" t="s">
        <x:v>1</x:v>
      </x:c>
    </x:row>
    <x:row r="136">
      <x:c r="B136" s="48" t="s">
        <x:v>1</x:v>
      </x:c>
      <x:c r="C136" s="48" t="s">
        <x:v>1</x:v>
      </x:c>
      <x:c r="D136" s="48" t="s">
        <x:v>1</x:v>
      </x:c>
      <x:c r="E136" s="78" t="s">
        <x:v>1</x:v>
      </x:c>
      <x:c r="F136" s="48" t="s">
        <x:v>1</x:v>
      </x:c>
      <x:c r="G136" s="48" t="s">
        <x:v>1</x:v>
      </x:c>
      <x:c r="H136" s="48" t="s">
        <x:v>1</x:v>
      </x:c>
      <x:c r="I136" s="48" t="s">
        <x:v>1</x:v>
      </x:c>
      <x:c r="J136" s="48" t="s">
        <x:v>1</x:v>
      </x:c>
      <x:c r="K136" s="48" t="s">
        <x:v>1</x:v>
      </x:c>
      <x:c r="L136" s="48" t="s">
        <x:v>1</x:v>
      </x:c>
      <x:c r="M136" s="48" t="s">
        <x:v>1</x:v>
      </x:c>
    </x:row>
    <x:row r="137">
      <x:c r="B137" s="48" t="s">
        <x:v>1</x:v>
      </x:c>
      <x:c r="C137" s="48" t="s">
        <x:v>1</x:v>
      </x:c>
      <x:c r="D137" s="48" t="s">
        <x:v>1</x:v>
      </x:c>
      <x:c r="E137" s="78" t="s">
        <x:v>1</x:v>
      </x:c>
      <x:c r="F137" s="48" t="s">
        <x:v>1</x:v>
      </x:c>
      <x:c r="G137" s="48" t="s">
        <x:v>1</x:v>
      </x:c>
      <x:c r="H137" s="48" t="s">
        <x:v>1</x:v>
      </x:c>
      <x:c r="I137" s="48" t="s">
        <x:v>1</x:v>
      </x:c>
      <x:c r="J137" s="48" t="s">
        <x:v>1</x:v>
      </x:c>
      <x:c r="K137" s="48" t="s">
        <x:v>1</x:v>
      </x:c>
      <x:c r="L137" s="48" t="s">
        <x:v>1</x:v>
      </x:c>
      <x:c r="M137" s="48" t="s">
        <x:v>1</x:v>
      </x:c>
    </x:row>
    <x:row r="138">
      <x:c r="B138" s="48" t="s">
        <x:v>1</x:v>
      </x:c>
      <x:c r="C138" s="48" t="s">
        <x:v>1</x:v>
      </x:c>
      <x:c r="D138" s="48" t="s">
        <x:v>1</x:v>
      </x:c>
      <x:c r="E138" s="78" t="s">
        <x:v>1</x:v>
      </x:c>
      <x:c r="F138" s="48" t="s">
        <x:v>1</x:v>
      </x:c>
      <x:c r="G138" s="48" t="s">
        <x:v>1</x:v>
      </x:c>
      <x:c r="H138" s="48" t="s">
        <x:v>1</x:v>
      </x:c>
      <x:c r="I138" s="48" t="s">
        <x:v>1</x:v>
      </x:c>
      <x:c r="J138" s="48" t="s">
        <x:v>1</x:v>
      </x:c>
      <x:c r="K138" s="48" t="s">
        <x:v>1</x:v>
      </x:c>
      <x:c r="L138" s="48" t="s">
        <x:v>1</x:v>
      </x:c>
      <x:c r="M138" s="48" t="s">
        <x:v>1</x:v>
      </x:c>
    </x:row>
    <x:row r="139">
      <x:c r="B139" s="48" t="s">
        <x:v>1</x:v>
      </x:c>
      <x:c r="C139" s="48" t="s">
        <x:v>1</x:v>
      </x:c>
      <x:c r="D139" s="48" t="s">
        <x:v>1</x:v>
      </x:c>
      <x:c r="E139" s="78" t="s">
        <x:v>1</x:v>
      </x:c>
      <x:c r="F139" s="48" t="s">
        <x:v>1</x:v>
      </x:c>
      <x:c r="G139" s="48" t="s">
        <x:v>1</x:v>
      </x:c>
      <x:c r="H139" s="48" t="s">
        <x:v>1</x:v>
      </x:c>
      <x:c r="I139" s="48" t="s">
        <x:v>1</x:v>
      </x:c>
      <x:c r="J139" s="48" t="s">
        <x:v>1</x:v>
      </x:c>
      <x:c r="K139" s="48" t="s">
        <x:v>1</x:v>
      </x:c>
      <x:c r="L139" s="48" t="s">
        <x:v>1</x:v>
      </x:c>
      <x:c r="M139" s="48" t="s">
        <x:v>1</x:v>
      </x:c>
    </x:row>
    <x:row r="140">
      <x:c r="B140" s="48" t="s">
        <x:v>1</x:v>
      </x:c>
      <x:c r="C140" s="48" t="s">
        <x:v>1</x:v>
      </x:c>
      <x:c r="D140" s="48" t="s">
        <x:v>1</x:v>
      </x:c>
      <x:c r="E140" s="78" t="s">
        <x:v>1</x:v>
      </x:c>
      <x:c r="F140" s="48" t="s">
        <x:v>1</x:v>
      </x:c>
      <x:c r="G140" s="48" t="s">
        <x:v>1</x:v>
      </x:c>
      <x:c r="H140" s="48" t="s">
        <x:v>1</x:v>
      </x:c>
      <x:c r="I140" s="48" t="s">
        <x:v>1</x:v>
      </x:c>
      <x:c r="J140" s="48" t="s">
        <x:v>1</x:v>
      </x:c>
      <x:c r="K140" s="48" t="s">
        <x:v>1</x:v>
      </x:c>
      <x:c r="L140" s="48" t="s">
        <x:v>1</x:v>
      </x:c>
      <x:c r="M140" s="48" t="s">
        <x:v>1</x:v>
      </x:c>
    </x:row>
    <x:row r="141">
      <x:c r="B141" s="48" t="s">
        <x:v>1</x:v>
      </x:c>
      <x:c r="C141" s="48" t="s">
        <x:v>1</x:v>
      </x:c>
      <x:c r="D141" s="48" t="s">
        <x:v>1</x:v>
      </x:c>
      <x:c r="E141" s="78" t="s">
        <x:v>1</x:v>
      </x:c>
      <x:c r="F141" s="48" t="s">
        <x:v>1</x:v>
      </x:c>
      <x:c r="G141" s="48" t="s">
        <x:v>1</x:v>
      </x:c>
      <x:c r="H141" s="48" t="s">
        <x:v>1</x:v>
      </x:c>
      <x:c r="I141" s="48" t="s">
        <x:v>1</x:v>
      </x:c>
      <x:c r="J141" s="48" t="s">
        <x:v>1</x:v>
      </x:c>
      <x:c r="K141" s="48" t="s">
        <x:v>1</x:v>
      </x:c>
      <x:c r="L141" s="48" t="s">
        <x:v>1</x:v>
      </x:c>
      <x:c r="M141" s="48" t="s">
        <x:v>1</x:v>
      </x:c>
    </x:row>
    <x:row r="142">
      <x:c r="B142" s="48" t="s">
        <x:v>1</x:v>
      </x:c>
      <x:c r="C142" s="48" t="s">
        <x:v>1</x:v>
      </x:c>
      <x:c r="D142" s="48" t="s">
        <x:v>1</x:v>
      </x:c>
      <x:c r="E142" s="78" t="s">
        <x:v>1</x:v>
      </x:c>
      <x:c r="F142" s="48" t="s">
        <x:v>1</x:v>
      </x:c>
      <x:c r="G142" s="48" t="s">
        <x:v>1</x:v>
      </x:c>
      <x:c r="H142" s="48" t="s">
        <x:v>1</x:v>
      </x:c>
      <x:c r="I142" s="48" t="s">
        <x:v>1</x:v>
      </x:c>
      <x:c r="J142" s="48" t="s">
        <x:v>1</x:v>
      </x:c>
      <x:c r="K142" s="48" t="s">
        <x:v>1</x:v>
      </x:c>
      <x:c r="L142" s="48" t="s">
        <x:v>1</x:v>
      </x:c>
      <x:c r="M142" s="48" t="s">
        <x:v>1</x:v>
      </x:c>
    </x:row>
    <x:row r="143">
      <x:c r="B143" s="48" t="s">
        <x:v>1</x:v>
      </x:c>
      <x:c r="C143" s="48" t="s">
        <x:v>1</x:v>
      </x:c>
      <x:c r="D143" s="48" t="s">
        <x:v>1</x:v>
      </x:c>
      <x:c r="E143" s="78" t="s">
        <x:v>1</x:v>
      </x:c>
      <x:c r="F143" s="48" t="s">
        <x:v>1</x:v>
      </x:c>
      <x:c r="G143" s="48" t="s">
        <x:v>1</x:v>
      </x:c>
      <x:c r="H143" s="48" t="s">
        <x:v>1</x:v>
      </x:c>
      <x:c r="I143" s="48" t="s">
        <x:v>1</x:v>
      </x:c>
      <x:c r="J143" s="48" t="s">
        <x:v>1</x:v>
      </x:c>
      <x:c r="K143" s="48" t="s">
        <x:v>1</x:v>
      </x:c>
      <x:c r="L143" s="48" t="s">
        <x:v>1</x:v>
      </x:c>
      <x:c r="M143" s="48" t="s">
        <x:v>1</x:v>
      </x:c>
    </x:row>
    <x:row r="144">
      <x:c r="B144" s="48" t="s">
        <x:v>1</x:v>
      </x:c>
      <x:c r="C144" s="48" t="s">
        <x:v>1</x:v>
      </x:c>
      <x:c r="D144" s="48" t="s">
        <x:v>1</x:v>
      </x:c>
      <x:c r="E144" s="78" t="s">
        <x:v>1</x:v>
      </x:c>
      <x:c r="F144" s="48" t="s">
        <x:v>1</x:v>
      </x:c>
      <x:c r="G144" s="48" t="s">
        <x:v>1</x:v>
      </x:c>
      <x:c r="H144" s="48" t="s">
        <x:v>1</x:v>
      </x:c>
      <x:c r="I144" s="48" t="s">
        <x:v>1</x:v>
      </x:c>
      <x:c r="J144" s="48" t="s">
        <x:v>1</x:v>
      </x:c>
      <x:c r="K144" s="48" t="s">
        <x:v>1</x:v>
      </x:c>
      <x:c r="L144" s="48" t="s">
        <x:v>1</x:v>
      </x:c>
      <x:c r="M144" s="48" t="s">
        <x:v>1</x:v>
      </x:c>
    </x:row>
    <x:row r="145">
      <x:c r="B145" s="48" t="s">
        <x:v>1</x:v>
      </x:c>
      <x:c r="C145" s="48" t="s">
        <x:v>1</x:v>
      </x:c>
      <x:c r="D145" s="48" t="s">
        <x:v>1</x:v>
      </x:c>
      <x:c r="E145" s="78" t="s">
        <x:v>1</x:v>
      </x:c>
      <x:c r="F145" s="48" t="s">
        <x:v>1</x:v>
      </x:c>
      <x:c r="G145" s="48" t="s">
        <x:v>1</x:v>
      </x:c>
      <x:c r="H145" s="48" t="s">
        <x:v>1</x:v>
      </x:c>
      <x:c r="I145" s="48" t="s">
        <x:v>1</x:v>
      </x:c>
      <x:c r="J145" s="48" t="s">
        <x:v>1</x:v>
      </x:c>
      <x:c r="K145" s="48" t="s">
        <x:v>1</x:v>
      </x:c>
      <x:c r="L145" s="48" t="s">
        <x:v>1</x:v>
      </x:c>
      <x:c r="M145" s="48" t="s">
        <x:v>1</x:v>
      </x:c>
    </x:row>
    <x:row r="146">
      <x:c r="B146" s="48" t="s">
        <x:v>1</x:v>
      </x:c>
      <x:c r="C146" s="48" t="s">
        <x:v>1</x:v>
      </x:c>
      <x:c r="D146" s="48" t="s">
        <x:v>1</x:v>
      </x:c>
      <x:c r="E146" s="78" t="s">
        <x:v>1</x:v>
      </x:c>
      <x:c r="F146" s="48" t="s">
        <x:v>1</x:v>
      </x:c>
      <x:c r="G146" s="48" t="s">
        <x:v>1</x:v>
      </x:c>
      <x:c r="H146" s="48" t="s">
        <x:v>1</x:v>
      </x:c>
      <x:c r="I146" s="48" t="s">
        <x:v>1</x:v>
      </x:c>
      <x:c r="J146" s="48" t="s">
        <x:v>1</x:v>
      </x:c>
      <x:c r="K146" s="48" t="s">
        <x:v>1</x:v>
      </x:c>
      <x:c r="L146" s="48" t="s">
        <x:v>1</x:v>
      </x:c>
      <x:c r="M146" s="48" t="s">
        <x:v>1</x:v>
      </x:c>
    </x:row>
    <x:row r="147">
      <x:c r="B147" s="48" t="s">
        <x:v>1</x:v>
      </x:c>
      <x:c r="C147" s="48" t="s">
        <x:v>1</x:v>
      </x:c>
      <x:c r="D147" s="48" t="s">
        <x:v>1</x:v>
      </x:c>
      <x:c r="E147" s="78" t="s">
        <x:v>1</x:v>
      </x:c>
      <x:c r="F147" s="48" t="s">
        <x:v>1</x:v>
      </x:c>
      <x:c r="G147" s="48" t="s">
        <x:v>1</x:v>
      </x:c>
      <x:c r="H147" s="48" t="s">
        <x:v>1</x:v>
      </x:c>
      <x:c r="I147" s="48" t="s">
        <x:v>1</x:v>
      </x:c>
      <x:c r="J147" s="48" t="s">
        <x:v>1</x:v>
      </x:c>
      <x:c r="K147" s="48" t="s">
        <x:v>1</x:v>
      </x:c>
      <x:c r="L147" s="48" t="s">
        <x:v>1</x:v>
      </x:c>
      <x:c r="M147" s="48" t="s">
        <x:v>1</x:v>
      </x:c>
    </x:row>
    <x:row r="148">
      <x:c r="B148" s="48" t="s">
        <x:v>1</x:v>
      </x:c>
      <x:c r="C148" s="48" t="s">
        <x:v>1</x:v>
      </x:c>
      <x:c r="D148" s="48" t="s">
        <x:v>1</x:v>
      </x:c>
      <x:c r="E148" s="78" t="s">
        <x:v>1</x:v>
      </x:c>
      <x:c r="F148" s="48" t="s">
        <x:v>1</x:v>
      </x:c>
      <x:c r="G148" s="48" t="s">
        <x:v>1</x:v>
      </x:c>
      <x:c r="H148" s="48" t="s">
        <x:v>1</x:v>
      </x:c>
      <x:c r="I148" s="48" t="s">
        <x:v>1</x:v>
      </x:c>
      <x:c r="J148" s="48" t="s">
        <x:v>1</x:v>
      </x:c>
      <x:c r="K148" s="48" t="s">
        <x:v>1</x:v>
      </x:c>
      <x:c r="L148" s="48" t="s">
        <x:v>1</x:v>
      </x:c>
      <x:c r="M148" s="48" t="s">
        <x:v>1</x:v>
      </x:c>
    </x:row>
    <x:row r="149">
      <x:c r="B149" s="48" t="s">
        <x:v>1</x:v>
      </x:c>
      <x:c r="C149" s="48" t="s">
        <x:v>1</x:v>
      </x:c>
      <x:c r="D149" s="48" t="s">
        <x:v>1</x:v>
      </x:c>
      <x:c r="E149" s="78" t="s">
        <x:v>1</x:v>
      </x:c>
      <x:c r="F149" s="48" t="s">
        <x:v>1</x:v>
      </x:c>
      <x:c r="G149" s="48" t="s">
        <x:v>1</x:v>
      </x:c>
      <x:c r="H149" s="48" t="s">
        <x:v>1</x:v>
      </x:c>
      <x:c r="I149" s="48" t="s">
        <x:v>1</x:v>
      </x:c>
      <x:c r="J149" s="48" t="s">
        <x:v>1</x:v>
      </x:c>
      <x:c r="K149" s="48" t="s">
        <x:v>1</x:v>
      </x:c>
      <x:c r="L149" s="48" t="s">
        <x:v>1</x:v>
      </x:c>
      <x:c r="M149" s="48" t="s">
        <x:v>1</x:v>
      </x:c>
    </x:row>
    <x:row r="150">
      <x:c r="B150" s="48" t="s">
        <x:v>1</x:v>
      </x:c>
      <x:c r="C150" s="48" t="s">
        <x:v>1</x:v>
      </x:c>
      <x:c r="D150" s="48" t="s">
        <x:v>1</x:v>
      </x:c>
      <x:c r="E150" s="78" t="s">
        <x:v>1</x:v>
      </x:c>
      <x:c r="F150" s="48" t="s">
        <x:v>1</x:v>
      </x:c>
      <x:c r="G150" s="48" t="s">
        <x:v>1</x:v>
      </x:c>
      <x:c r="H150" s="48" t="s">
        <x:v>1</x:v>
      </x:c>
      <x:c r="I150" s="48" t="s">
        <x:v>1</x:v>
      </x:c>
      <x:c r="J150" s="48" t="s">
        <x:v>1</x:v>
      </x:c>
      <x:c r="K150" s="48" t="s">
        <x:v>1</x:v>
      </x:c>
      <x:c r="L150" s="48" t="s">
        <x:v>1</x:v>
      </x:c>
      <x:c r="M150" s="48" t="s">
        <x:v>1</x:v>
      </x:c>
    </x:row>
    <x:row r="151">
      <x:c r="B151" s="48" t="s">
        <x:v>1</x:v>
      </x:c>
      <x:c r="C151" s="48" t="s">
        <x:v>1</x:v>
      </x:c>
      <x:c r="D151" s="48" t="s">
        <x:v>1</x:v>
      </x:c>
      <x:c r="E151" s="78" t="s">
        <x:v>1</x:v>
      </x:c>
      <x:c r="F151" s="48" t="s">
        <x:v>1</x:v>
      </x:c>
      <x:c r="G151" s="48" t="s">
        <x:v>1</x:v>
      </x:c>
      <x:c r="H151" s="48" t="s">
        <x:v>1</x:v>
      </x:c>
      <x:c r="I151" s="48" t="s">
        <x:v>1</x:v>
      </x:c>
      <x:c r="J151" s="48" t="s">
        <x:v>1</x:v>
      </x:c>
      <x:c r="K151" s="48" t="s">
        <x:v>1</x:v>
      </x:c>
      <x:c r="L151" s="48" t="s">
        <x:v>1</x:v>
      </x:c>
      <x:c r="M151" s="48" t="s">
        <x:v>1</x:v>
      </x:c>
    </x:row>
    <x:row r="152">
      <x:c r="B152" s="48" t="s">
        <x:v>1</x:v>
      </x:c>
      <x:c r="C152" s="48" t="s">
        <x:v>1</x:v>
      </x:c>
      <x:c r="D152" s="48" t="s">
        <x:v>1</x:v>
      </x:c>
      <x:c r="E152" s="78" t="s">
        <x:v>1</x:v>
      </x:c>
      <x:c r="F152" s="48" t="s">
        <x:v>1</x:v>
      </x:c>
      <x:c r="G152" s="48" t="s">
        <x:v>1</x:v>
      </x:c>
      <x:c r="H152" s="48" t="s">
        <x:v>1</x:v>
      </x:c>
      <x:c r="I152" s="48" t="s">
        <x:v>1</x:v>
      </x:c>
      <x:c r="J152" s="48" t="s">
        <x:v>1</x:v>
      </x:c>
      <x:c r="K152" s="48" t="s">
        <x:v>1</x:v>
      </x:c>
      <x:c r="L152" s="48" t="s">
        <x:v>1</x:v>
      </x:c>
      <x:c r="M152" s="48" t="s">
        <x:v>1</x:v>
      </x:c>
    </x:row>
    <x:row r="153">
      <x:c r="B153" s="48" t="s">
        <x:v>1</x:v>
      </x:c>
      <x:c r="C153" s="48" t="s">
        <x:v>1</x:v>
      </x:c>
      <x:c r="D153" s="48" t="s">
        <x:v>1</x:v>
      </x:c>
      <x:c r="E153" s="78" t="s">
        <x:v>1</x:v>
      </x:c>
      <x:c r="F153" s="48" t="s">
        <x:v>1</x:v>
      </x:c>
      <x:c r="G153" s="48" t="s">
        <x:v>1</x:v>
      </x:c>
      <x:c r="H153" s="48" t="s">
        <x:v>1</x:v>
      </x:c>
      <x:c r="I153" s="48" t="s">
        <x:v>1</x:v>
      </x:c>
      <x:c r="J153" s="48" t="s">
        <x:v>1</x:v>
      </x:c>
      <x:c r="K153" s="48" t="s">
        <x:v>1</x:v>
      </x:c>
      <x:c r="L153" s="48" t="s">
        <x:v>1</x:v>
      </x:c>
      <x:c r="M153" s="48" t="s">
        <x:v>1</x:v>
      </x:c>
    </x:row>
    <x:row r="154">
      <x:c r="B154" s="48" t="s">
        <x:v>1</x:v>
      </x:c>
      <x:c r="C154" s="48" t="s">
        <x:v>1</x:v>
      </x:c>
      <x:c r="D154" s="48" t="s">
        <x:v>1</x:v>
      </x:c>
      <x:c r="E154" s="78" t="s">
        <x:v>1</x:v>
      </x:c>
      <x:c r="F154" s="48" t="s">
        <x:v>1</x:v>
      </x:c>
      <x:c r="G154" s="48" t="s">
        <x:v>1</x:v>
      </x:c>
      <x:c r="H154" s="48" t="s">
        <x:v>1</x:v>
      </x:c>
      <x:c r="I154" s="48" t="s">
        <x:v>1</x:v>
      </x:c>
      <x:c r="J154" s="48" t="s">
        <x:v>1</x:v>
      </x:c>
      <x:c r="K154" s="48" t="s">
        <x:v>1</x:v>
      </x:c>
      <x:c r="L154" s="48" t="s">
        <x:v>1</x:v>
      </x:c>
      <x:c r="M154" s="48" t="s">
        <x:v>1</x:v>
      </x:c>
    </x:row>
    <x:row r="155">
      <x:c r="B155" s="48" t="s">
        <x:v>1</x:v>
      </x:c>
      <x:c r="C155" s="48" t="s">
        <x:v>1</x:v>
      </x:c>
      <x:c r="D155" s="48" t="s">
        <x:v>1</x:v>
      </x:c>
      <x:c r="E155" s="78" t="s">
        <x:v>1</x:v>
      </x:c>
      <x:c r="F155" s="48" t="s">
        <x:v>1</x:v>
      </x:c>
      <x:c r="G155" s="48" t="s">
        <x:v>1</x:v>
      </x:c>
      <x:c r="H155" s="48" t="s">
        <x:v>1</x:v>
      </x:c>
      <x:c r="I155" s="48" t="s">
        <x:v>1</x:v>
      </x:c>
      <x:c r="J155" s="48" t="s">
        <x:v>1</x:v>
      </x:c>
      <x:c r="K155" s="48" t="s">
        <x:v>1</x:v>
      </x:c>
      <x:c r="L155" s="48" t="s">
        <x:v>1</x:v>
      </x:c>
      <x:c r="M155" s="48" t="s">
        <x:v>1</x:v>
      </x:c>
    </x:row>
    <x:row r="156">
      <x:c r="B156" s="48" t="s">
        <x:v>1</x:v>
      </x:c>
      <x:c r="C156" s="48" t="s">
        <x:v>1</x:v>
      </x:c>
      <x:c r="D156" s="48" t="s">
        <x:v>1</x:v>
      </x:c>
      <x:c r="E156" s="78" t="s">
        <x:v>1</x:v>
      </x:c>
      <x:c r="F156" s="48" t="s">
        <x:v>1</x:v>
      </x:c>
      <x:c r="G156" s="48" t="s">
        <x:v>1</x:v>
      </x:c>
      <x:c r="H156" s="48" t="s">
        <x:v>1</x:v>
      </x:c>
      <x:c r="I156" s="48" t="s">
        <x:v>1</x:v>
      </x:c>
      <x:c r="J156" s="48" t="s">
        <x:v>1</x:v>
      </x:c>
      <x:c r="K156" s="48" t="s">
        <x:v>1</x:v>
      </x:c>
      <x:c r="L156" s="48" t="s">
        <x:v>1</x:v>
      </x:c>
      <x:c r="M156" s="48" t="s">
        <x:v>1</x:v>
      </x:c>
    </x:row>
    <x:row r="157">
      <x:c r="B157" s="48" t="s">
        <x:v>1</x:v>
      </x:c>
      <x:c r="C157" s="48" t="s">
        <x:v>1</x:v>
      </x:c>
      <x:c r="D157" s="48" t="s">
        <x:v>1</x:v>
      </x:c>
      <x:c r="E157" s="78" t="s">
        <x:v>1</x:v>
      </x:c>
      <x:c r="F157" s="48" t="s">
        <x:v>1</x:v>
      </x:c>
      <x:c r="G157" s="48" t="s">
        <x:v>1</x:v>
      </x:c>
      <x:c r="H157" s="48" t="s">
        <x:v>1</x:v>
      </x:c>
      <x:c r="I157" s="48" t="s">
        <x:v>1</x:v>
      </x:c>
      <x:c r="J157" s="48" t="s">
        <x:v>1</x:v>
      </x:c>
      <x:c r="K157" s="48" t="s">
        <x:v>1</x:v>
      </x:c>
      <x:c r="L157" s="48" t="s">
        <x:v>1</x:v>
      </x:c>
      <x:c r="M157" s="48" t="s">
        <x:v>1</x:v>
      </x:c>
    </x:row>
    <x:row r="158">
      <x:c r="B158" s="48" t="s">
        <x:v>1</x:v>
      </x:c>
      <x:c r="C158" s="48" t="s">
        <x:v>1</x:v>
      </x:c>
      <x:c r="D158" s="48" t="s">
        <x:v>1</x:v>
      </x:c>
      <x:c r="E158" s="78" t="s">
        <x:v>1</x:v>
      </x:c>
      <x:c r="F158" s="48" t="s">
        <x:v>1</x:v>
      </x:c>
      <x:c r="G158" s="48" t="s">
        <x:v>1</x:v>
      </x:c>
      <x:c r="H158" s="48" t="s">
        <x:v>1</x:v>
      </x:c>
      <x:c r="I158" s="48" t="s">
        <x:v>1</x:v>
      </x:c>
      <x:c r="J158" s="48" t="s">
        <x:v>1</x:v>
      </x:c>
      <x:c r="K158" s="48" t="s">
        <x:v>1</x:v>
      </x:c>
      <x:c r="L158" s="48" t="s">
        <x:v>1</x:v>
      </x:c>
      <x:c r="M158" s="48" t="s">
        <x:v>1</x:v>
      </x:c>
    </x:row>
    <x:row r="159">
      <x:c r="B159" s="48" t="s">
        <x:v>1</x:v>
      </x:c>
      <x:c r="C159" s="48" t="s">
        <x:v>1</x:v>
      </x:c>
      <x:c r="D159" s="48" t="s">
        <x:v>1</x:v>
      </x:c>
      <x:c r="E159" s="78" t="s">
        <x:v>1</x:v>
      </x:c>
      <x:c r="F159" s="48" t="s">
        <x:v>1</x:v>
      </x:c>
      <x:c r="G159" s="48" t="s">
        <x:v>1</x:v>
      </x:c>
      <x:c r="H159" s="48" t="s">
        <x:v>1</x:v>
      </x:c>
      <x:c r="I159" s="48" t="s">
        <x:v>1</x:v>
      </x:c>
      <x:c r="J159" s="48" t="s">
        <x:v>1</x:v>
      </x:c>
      <x:c r="K159" s="48" t="s">
        <x:v>1</x:v>
      </x:c>
      <x:c r="L159" s="48" t="s">
        <x:v>1</x:v>
      </x:c>
      <x:c r="M159" s="48" t="s">
        <x:v>1</x:v>
      </x:c>
    </x:row>
    <x:row r="160">
      <x:c r="B160" s="48" t="s">
        <x:v>1</x:v>
      </x:c>
      <x:c r="C160" s="48" t="s">
        <x:v>1</x:v>
      </x:c>
      <x:c r="D160" s="48" t="s">
        <x:v>1</x:v>
      </x:c>
      <x:c r="E160" s="78" t="s">
        <x:v>1</x:v>
      </x:c>
      <x:c r="F160" s="48" t="s">
        <x:v>1</x:v>
      </x:c>
      <x:c r="G160" s="48" t="s">
        <x:v>1</x:v>
      </x:c>
      <x:c r="H160" s="48" t="s">
        <x:v>1</x:v>
      </x:c>
      <x:c r="I160" s="48" t="s">
        <x:v>1</x:v>
      </x:c>
      <x:c r="J160" s="48" t="s">
        <x:v>1</x:v>
      </x:c>
      <x:c r="K160" s="48" t="s">
        <x:v>1</x:v>
      </x:c>
      <x:c r="L160" s="48" t="s">
        <x:v>1</x:v>
      </x:c>
      <x:c r="M160" s="48" t="s">
        <x:v>1</x:v>
      </x:c>
    </x:row>
    <x:row r="161">
      <x:c r="B161" s="48" t="s">
        <x:v>1</x:v>
      </x:c>
      <x:c r="C161" s="48" t="s">
        <x:v>1</x:v>
      </x:c>
      <x:c r="D161" s="48" t="s">
        <x:v>1</x:v>
      </x:c>
      <x:c r="E161" s="78" t="s">
        <x:v>1</x:v>
      </x:c>
      <x:c r="F161" s="48" t="s">
        <x:v>1</x:v>
      </x:c>
      <x:c r="G161" s="48" t="s">
        <x:v>1</x:v>
      </x:c>
      <x:c r="H161" s="48" t="s">
        <x:v>1</x:v>
      </x:c>
      <x:c r="I161" s="48" t="s">
        <x:v>1</x:v>
      </x:c>
      <x:c r="J161" s="48" t="s">
        <x:v>1</x:v>
      </x:c>
      <x:c r="K161" s="48" t="s">
        <x:v>1</x:v>
      </x:c>
      <x:c r="L161" s="48" t="s">
        <x:v>1</x:v>
      </x:c>
      <x:c r="M161" s="48" t="s">
        <x:v>1</x:v>
      </x:c>
    </x:row>
    <x:row r="162">
      <x:c r="B162" s="48" t="s">
        <x:v>1</x:v>
      </x:c>
      <x:c r="C162" s="48" t="s">
        <x:v>1</x:v>
      </x:c>
      <x:c r="D162" s="48" t="s">
        <x:v>1</x:v>
      </x:c>
      <x:c r="E162" s="78" t="s">
        <x:v>1</x:v>
      </x:c>
      <x:c r="F162" s="48" t="s">
        <x:v>1</x:v>
      </x:c>
      <x:c r="G162" s="48" t="s">
        <x:v>1</x:v>
      </x:c>
      <x:c r="H162" s="48" t="s">
        <x:v>1</x:v>
      </x:c>
      <x:c r="I162" s="48" t="s">
        <x:v>1</x:v>
      </x:c>
      <x:c r="J162" s="48" t="s">
        <x:v>1</x:v>
      </x:c>
      <x:c r="K162" s="48" t="s">
        <x:v>1</x:v>
      </x:c>
      <x:c r="L162" s="48" t="s">
        <x:v>1</x:v>
      </x:c>
      <x:c r="M162" s="48" t="s">
        <x:v>1</x:v>
      </x:c>
    </x:row>
    <x:row r="163">
      <x:c r="B163" s="48" t="s">
        <x:v>1</x:v>
      </x:c>
      <x:c r="C163" s="48" t="s">
        <x:v>1</x:v>
      </x:c>
      <x:c r="D163" s="48" t="s">
        <x:v>1</x:v>
      </x:c>
      <x:c r="E163" s="78" t="s">
        <x:v>1</x:v>
      </x:c>
      <x:c r="F163" s="48" t="s">
        <x:v>1</x:v>
      </x:c>
      <x:c r="G163" s="48" t="s">
        <x:v>1</x:v>
      </x:c>
      <x:c r="H163" s="48" t="s">
        <x:v>1</x:v>
      </x:c>
      <x:c r="I163" s="48" t="s">
        <x:v>1</x:v>
      </x:c>
      <x:c r="J163" s="48" t="s">
        <x:v>1</x:v>
      </x:c>
      <x:c r="K163" s="48" t="s">
        <x:v>1</x:v>
      </x:c>
      <x:c r="L163" s="48" t="s">
        <x:v>1</x:v>
      </x:c>
      <x:c r="M163" s="48" t="s">
        <x:v>1</x:v>
      </x:c>
    </x:row>
    <x:row r="164">
      <x:c r="B164" s="48" t="s">
        <x:v>1</x:v>
      </x:c>
      <x:c r="C164" s="48" t="s">
        <x:v>1</x:v>
      </x:c>
      <x:c r="D164" s="48" t="s">
        <x:v>1</x:v>
      </x:c>
      <x:c r="E164" s="78" t="s">
        <x:v>1</x:v>
      </x:c>
      <x:c r="F164" s="48" t="s">
        <x:v>1</x:v>
      </x:c>
      <x:c r="G164" s="48" t="s">
        <x:v>1</x:v>
      </x:c>
      <x:c r="H164" s="48" t="s">
        <x:v>1</x:v>
      </x:c>
      <x:c r="I164" s="48" t="s">
        <x:v>1</x:v>
      </x:c>
      <x:c r="J164" s="48" t="s">
        <x:v>1</x:v>
      </x:c>
      <x:c r="K164" s="48" t="s">
        <x:v>1</x:v>
      </x:c>
      <x:c r="L164" s="48" t="s">
        <x:v>1</x:v>
      </x:c>
      <x:c r="M164" s="48" t="s">
        <x:v>1</x:v>
      </x:c>
    </x:row>
    <x:row r="165">
      <x:c r="B165" s="48" t="s">
        <x:v>1</x:v>
      </x:c>
      <x:c r="C165" s="48" t="s">
        <x:v>1</x:v>
      </x:c>
      <x:c r="D165" s="48" t="s">
        <x:v>1</x:v>
      </x:c>
      <x:c r="E165" s="78" t="s">
        <x:v>1</x:v>
      </x:c>
      <x:c r="F165" s="48" t="s">
        <x:v>1</x:v>
      </x:c>
      <x:c r="G165" s="48" t="s">
        <x:v>1</x:v>
      </x:c>
      <x:c r="H165" s="48" t="s">
        <x:v>1</x:v>
      </x:c>
      <x:c r="I165" s="48" t="s">
        <x:v>1</x:v>
      </x:c>
      <x:c r="J165" s="48" t="s">
        <x:v>1</x:v>
      </x:c>
      <x:c r="K165" s="48" t="s">
        <x:v>1</x:v>
      </x:c>
      <x:c r="L165" s="48" t="s">
        <x:v>1</x:v>
      </x:c>
      <x:c r="M165" s="48" t="s">
        <x:v>1</x:v>
      </x:c>
    </x:row>
    <x:row r="166">
      <x:c r="B166" s="48" t="s">
        <x:v>1</x:v>
      </x:c>
      <x:c r="C166" s="48" t="s">
        <x:v>1</x:v>
      </x:c>
      <x:c r="D166" s="48" t="s">
        <x:v>1</x:v>
      </x:c>
      <x:c r="E166" s="78" t="s">
        <x:v>1</x:v>
      </x:c>
      <x:c r="F166" s="48" t="s">
        <x:v>1</x:v>
      </x:c>
      <x:c r="G166" s="48" t="s">
        <x:v>1</x:v>
      </x:c>
      <x:c r="H166" s="48" t="s">
        <x:v>1</x:v>
      </x:c>
      <x:c r="I166" s="48" t="s">
        <x:v>1</x:v>
      </x:c>
      <x:c r="J166" s="48" t="s">
        <x:v>1</x:v>
      </x:c>
      <x:c r="K166" s="48" t="s">
        <x:v>1</x:v>
      </x:c>
      <x:c r="L166" s="48" t="s">
        <x:v>1</x:v>
      </x:c>
      <x:c r="M166" s="48" t="s">
        <x:v>1</x:v>
      </x:c>
    </x:row>
    <x:row r="167">
      <x:c r="B167" s="48" t="s">
        <x:v>1</x:v>
      </x:c>
      <x:c r="C167" s="48" t="s">
        <x:v>1</x:v>
      </x:c>
      <x:c r="D167" s="48" t="s">
        <x:v>1</x:v>
      </x:c>
      <x:c r="E167" s="78" t="s">
        <x:v>1</x:v>
      </x:c>
      <x:c r="F167" s="48" t="s">
        <x:v>1</x:v>
      </x:c>
      <x:c r="G167" s="48" t="s">
        <x:v>1</x:v>
      </x:c>
      <x:c r="H167" s="48" t="s">
        <x:v>1</x:v>
      </x:c>
      <x:c r="I167" s="48" t="s">
        <x:v>1</x:v>
      </x:c>
      <x:c r="J167" s="48" t="s">
        <x:v>1</x:v>
      </x:c>
      <x:c r="K167" s="48" t="s">
        <x:v>1</x:v>
      </x:c>
      <x:c r="L167" s="48" t="s">
        <x:v>1</x:v>
      </x:c>
      <x:c r="M167" s="48" t="s">
        <x:v>1</x:v>
      </x:c>
    </x:row>
    <x:row r="168">
      <x:c r="B168" s="48" t="s">
        <x:v>1</x:v>
      </x:c>
      <x:c r="C168" s="48" t="s">
        <x:v>1</x:v>
      </x:c>
      <x:c r="D168" s="48" t="s">
        <x:v>1</x:v>
      </x:c>
      <x:c r="E168" s="78" t="s">
        <x:v>1</x:v>
      </x:c>
      <x:c r="F168" s="48" t="s">
        <x:v>1</x:v>
      </x:c>
      <x:c r="G168" s="48" t="s">
        <x:v>1</x:v>
      </x:c>
      <x:c r="H168" s="48" t="s">
        <x:v>1</x:v>
      </x:c>
      <x:c r="I168" s="48" t="s">
        <x:v>1</x:v>
      </x:c>
      <x:c r="J168" s="48" t="s">
        <x:v>1</x:v>
      </x:c>
      <x:c r="K168" s="48" t="s">
        <x:v>1</x:v>
      </x:c>
      <x:c r="L168" s="48" t="s">
        <x:v>1</x:v>
      </x:c>
      <x:c r="M168" s="48" t="s">
        <x:v>1</x:v>
      </x:c>
    </x:row>
    <x:row r="169">
      <x:c r="B169" s="48" t="s">
        <x:v>1</x:v>
      </x:c>
      <x:c r="C169" s="48" t="s">
        <x:v>1</x:v>
      </x:c>
      <x:c r="D169" s="48" t="s">
        <x:v>1</x:v>
      </x:c>
      <x:c r="E169" s="78" t="s">
        <x:v>1</x:v>
      </x:c>
      <x:c r="F169" s="48" t="s">
        <x:v>1</x:v>
      </x:c>
      <x:c r="G169" s="48" t="s">
        <x:v>1</x:v>
      </x:c>
      <x:c r="H169" s="48" t="s">
        <x:v>1</x:v>
      </x:c>
      <x:c r="I169" s="48" t="s">
        <x:v>1</x:v>
      </x:c>
      <x:c r="J169" s="48" t="s">
        <x:v>1</x:v>
      </x:c>
      <x:c r="K169" s="48" t="s">
        <x:v>1</x:v>
      </x:c>
      <x:c r="L169" s="48" t="s">
        <x:v>1</x:v>
      </x:c>
      <x:c r="M169" s="48" t="s">
        <x:v>1</x:v>
      </x:c>
    </x:row>
    <x:row r="170">
      <x:c r="B170" s="48" t="s">
        <x:v>1</x:v>
      </x:c>
      <x:c r="C170" s="48" t="s">
        <x:v>1</x:v>
      </x:c>
      <x:c r="D170" s="48" t="s">
        <x:v>1</x:v>
      </x:c>
      <x:c r="E170" s="78" t="s">
        <x:v>1</x:v>
      </x:c>
      <x:c r="F170" s="48" t="s">
        <x:v>1</x:v>
      </x:c>
      <x:c r="G170" s="48" t="s">
        <x:v>1</x:v>
      </x:c>
      <x:c r="H170" s="48" t="s">
        <x:v>1</x:v>
      </x:c>
      <x:c r="I170" s="48" t="s">
        <x:v>1</x:v>
      </x:c>
      <x:c r="J170" s="48" t="s">
        <x:v>1</x:v>
      </x:c>
      <x:c r="K170" s="48" t="s">
        <x:v>1</x:v>
      </x:c>
      <x:c r="L170" s="48" t="s">
        <x:v>1</x:v>
      </x:c>
      <x:c r="M170" s="48" t="s">
        <x:v>1</x:v>
      </x:c>
    </x:row>
    <x:row r="171">
      <x:c r="B171" s="48" t="s">
        <x:v>1</x:v>
      </x:c>
      <x:c r="C171" s="48" t="s">
        <x:v>1</x:v>
      </x:c>
      <x:c r="D171" s="48" t="s">
        <x:v>1</x:v>
      </x:c>
      <x:c r="E171" s="78" t="s">
        <x:v>1</x:v>
      </x:c>
      <x:c r="F171" s="48" t="s">
        <x:v>1</x:v>
      </x:c>
      <x:c r="G171" s="48" t="s">
        <x:v>1</x:v>
      </x:c>
      <x:c r="H171" s="48" t="s">
        <x:v>1</x:v>
      </x:c>
      <x:c r="I171" s="48" t="s">
        <x:v>1</x:v>
      </x:c>
      <x:c r="J171" s="48" t="s">
        <x:v>1</x:v>
      </x:c>
      <x:c r="K171" s="48" t="s">
        <x:v>1</x:v>
      </x:c>
      <x:c r="L171" s="48" t="s">
        <x:v>1</x:v>
      </x:c>
      <x:c r="M171" s="48" t="s">
        <x:v>1</x:v>
      </x:c>
    </x:row>
    <x:row r="172">
      <x:c r="B172" s="48" t="s">
        <x:v>1</x:v>
      </x:c>
      <x:c r="C172" s="48" t="s">
        <x:v>1</x:v>
      </x:c>
      <x:c r="D172" s="48" t="s">
        <x:v>1</x:v>
      </x:c>
      <x:c r="E172" s="78" t="s">
        <x:v>1</x:v>
      </x:c>
      <x:c r="F172" s="48" t="s">
        <x:v>1</x:v>
      </x:c>
      <x:c r="G172" s="48" t="s">
        <x:v>1</x:v>
      </x:c>
      <x:c r="H172" s="48" t="s">
        <x:v>1</x:v>
      </x:c>
      <x:c r="I172" s="48" t="s">
        <x:v>1</x:v>
      </x:c>
      <x:c r="J172" s="48" t="s">
        <x:v>1</x:v>
      </x:c>
      <x:c r="K172" s="48" t="s">
        <x:v>1</x:v>
      </x:c>
      <x:c r="L172" s="48" t="s">
        <x:v>1</x:v>
      </x:c>
      <x:c r="M172" s="48" t="s">
        <x:v>1</x:v>
      </x:c>
    </x:row>
    <x:row r="173">
      <x:c r="B173" s="48" t="s">
        <x:v>1</x:v>
      </x:c>
      <x:c r="C173" s="48" t="s">
        <x:v>1</x:v>
      </x:c>
      <x:c r="D173" s="48" t="s">
        <x:v>1</x:v>
      </x:c>
      <x:c r="E173" s="78" t="s">
        <x:v>1</x:v>
      </x:c>
      <x:c r="F173" s="48" t="s">
        <x:v>1</x:v>
      </x:c>
      <x:c r="G173" s="48" t="s">
        <x:v>1</x:v>
      </x:c>
      <x:c r="H173" s="48" t="s">
        <x:v>1</x:v>
      </x:c>
      <x:c r="I173" s="48" t="s">
        <x:v>1</x:v>
      </x:c>
      <x:c r="J173" s="48" t="s">
        <x:v>1</x:v>
      </x:c>
      <x:c r="K173" s="48" t="s">
        <x:v>1</x:v>
      </x:c>
      <x:c r="L173" s="48" t="s">
        <x:v>1</x:v>
      </x:c>
      <x:c r="M173" s="48" t="s">
        <x:v>1</x:v>
      </x:c>
    </x:row>
    <x:row r="174">
      <x:c r="B174" s="48" t="s">
        <x:v>1</x:v>
      </x:c>
      <x:c r="C174" s="48" t="s">
        <x:v>1</x:v>
      </x:c>
      <x:c r="D174" s="48" t="s">
        <x:v>1</x:v>
      </x:c>
      <x:c r="E174" s="78" t="s">
        <x:v>1</x:v>
      </x:c>
      <x:c r="F174" s="48" t="s">
        <x:v>1</x:v>
      </x:c>
      <x:c r="G174" s="48" t="s">
        <x:v>1</x:v>
      </x:c>
      <x:c r="H174" s="48" t="s">
        <x:v>1</x:v>
      </x:c>
      <x:c r="I174" s="48" t="s">
        <x:v>1</x:v>
      </x:c>
      <x:c r="J174" s="48" t="s">
        <x:v>1</x:v>
      </x:c>
      <x:c r="K174" s="48" t="s">
        <x:v>1</x:v>
      </x:c>
      <x:c r="L174" s="48" t="s">
        <x:v>1</x:v>
      </x:c>
      <x:c r="M174" s="48" t="s">
        <x:v>1</x:v>
      </x:c>
    </x:row>
    <x:row r="175">
      <x:c r="B175" s="48" t="s">
        <x:v>1</x:v>
      </x:c>
      <x:c r="C175" s="48" t="s">
        <x:v>1</x:v>
      </x:c>
      <x:c r="D175" s="48" t="s">
        <x:v>1</x:v>
      </x:c>
      <x:c r="E175" s="78" t="s">
        <x:v>1</x:v>
      </x:c>
      <x:c r="F175" s="48" t="s">
        <x:v>1</x:v>
      </x:c>
      <x:c r="G175" s="48" t="s">
        <x:v>1</x:v>
      </x:c>
      <x:c r="H175" s="48" t="s">
        <x:v>1</x:v>
      </x:c>
      <x:c r="I175" s="48" t="s">
        <x:v>1</x:v>
      </x:c>
      <x:c r="J175" s="48" t="s">
        <x:v>1</x:v>
      </x:c>
      <x:c r="K175" s="48" t="s">
        <x:v>1</x:v>
      </x:c>
      <x:c r="L175" s="48" t="s">
        <x:v>1</x:v>
      </x:c>
      <x:c r="M175" s="48" t="s">
        <x:v>1</x:v>
      </x:c>
    </x:row>
    <x:row r="176">
      <x:c r="B176" s="48" t="s">
        <x:v>1</x:v>
      </x:c>
      <x:c r="C176" s="48" t="s">
        <x:v>1</x:v>
      </x:c>
      <x:c r="D176" s="48" t="s">
        <x:v>1</x:v>
      </x:c>
      <x:c r="E176" s="78" t="s">
        <x:v>1</x:v>
      </x:c>
      <x:c r="F176" s="48" t="s">
        <x:v>1</x:v>
      </x:c>
      <x:c r="G176" s="48" t="s">
        <x:v>1</x:v>
      </x:c>
      <x:c r="H176" s="48" t="s">
        <x:v>1</x:v>
      </x:c>
      <x:c r="I176" s="48" t="s">
        <x:v>1</x:v>
      </x:c>
      <x:c r="J176" s="48" t="s">
        <x:v>1</x:v>
      </x:c>
      <x:c r="K176" s="48" t="s">
        <x:v>1</x:v>
      </x:c>
      <x:c r="L176" s="48" t="s">
        <x:v>1</x:v>
      </x:c>
      <x:c r="M176" s="48" t="s">
        <x:v>1</x:v>
      </x:c>
    </x:row>
    <x:row r="177">
      <x:c r="B177" s="48" t="s">
        <x:v>1</x:v>
      </x:c>
      <x:c r="C177" s="48" t="s">
        <x:v>1</x:v>
      </x:c>
      <x:c r="D177" s="48" t="s">
        <x:v>1</x:v>
      </x:c>
      <x:c r="E177" s="78" t="s">
        <x:v>1</x:v>
      </x:c>
      <x:c r="F177" s="48" t="s">
        <x:v>1</x:v>
      </x:c>
      <x:c r="G177" s="48" t="s">
        <x:v>1</x:v>
      </x:c>
      <x:c r="H177" s="48" t="s">
        <x:v>1</x:v>
      </x:c>
      <x:c r="I177" s="48" t="s">
        <x:v>1</x:v>
      </x:c>
      <x:c r="J177" s="48" t="s">
        <x:v>1</x:v>
      </x:c>
      <x:c r="K177" s="48" t="s">
        <x:v>1</x:v>
      </x:c>
      <x:c r="L177" s="48" t="s">
        <x:v>1</x:v>
      </x:c>
      <x:c r="M177" s="48" t="s">
        <x:v>1</x:v>
      </x:c>
    </x:row>
    <x:row r="178">
      <x:c r="B178" s="48" t="s">
        <x:v>1</x:v>
      </x:c>
      <x:c r="C178" s="48" t="s">
        <x:v>1</x:v>
      </x:c>
      <x:c r="D178" s="48" t="s">
        <x:v>1</x:v>
      </x:c>
      <x:c r="E178" s="78" t="s">
        <x:v>1</x:v>
      </x:c>
      <x:c r="F178" s="48" t="s">
        <x:v>1</x:v>
      </x:c>
      <x:c r="G178" s="48" t="s">
        <x:v>1</x:v>
      </x:c>
      <x:c r="H178" s="48" t="s">
        <x:v>1</x:v>
      </x:c>
      <x:c r="I178" s="48" t="s">
        <x:v>1</x:v>
      </x:c>
      <x:c r="J178" s="48" t="s">
        <x:v>1</x:v>
      </x:c>
      <x:c r="K178" s="48" t="s">
        <x:v>1</x:v>
      </x:c>
      <x:c r="L178" s="48" t="s">
        <x:v>1</x:v>
      </x:c>
      <x:c r="M178" s="48" t="s">
        <x:v>1</x:v>
      </x:c>
    </x:row>
    <x:row r="179">
      <x:c r="B179" s="48" t="s">
        <x:v>1</x:v>
      </x:c>
      <x:c r="C179" s="48" t="s">
        <x:v>1</x:v>
      </x:c>
      <x:c r="D179" s="48" t="s">
        <x:v>1</x:v>
      </x:c>
      <x:c r="E179" s="78" t="s">
        <x:v>1</x:v>
      </x:c>
      <x:c r="F179" s="48" t="s">
        <x:v>1</x:v>
      </x:c>
      <x:c r="G179" s="48" t="s">
        <x:v>1</x:v>
      </x:c>
      <x:c r="H179" s="48" t="s">
        <x:v>1</x:v>
      </x:c>
      <x:c r="I179" s="48" t="s">
        <x:v>1</x:v>
      </x:c>
      <x:c r="J179" s="48" t="s">
        <x:v>1</x:v>
      </x:c>
      <x:c r="K179" s="48" t="s">
        <x:v>1</x:v>
      </x:c>
      <x:c r="L179" s="48" t="s">
        <x:v>1</x:v>
      </x:c>
      <x:c r="M179" s="48" t="s">
        <x:v>1</x:v>
      </x:c>
    </x:row>
    <x:row r="180">
      <x:c r="B180" s="48" t="s">
        <x:v>1</x:v>
      </x:c>
      <x:c r="C180" s="48" t="s">
        <x:v>1</x:v>
      </x:c>
      <x:c r="D180" s="48" t="s">
        <x:v>1</x:v>
      </x:c>
      <x:c r="E180" s="78" t="s">
        <x:v>1</x:v>
      </x:c>
      <x:c r="F180" s="48" t="s">
        <x:v>1</x:v>
      </x:c>
      <x:c r="G180" s="48" t="s">
        <x:v>1</x:v>
      </x:c>
      <x:c r="H180" s="48" t="s">
        <x:v>1</x:v>
      </x:c>
      <x:c r="I180" s="48" t="s">
        <x:v>1</x:v>
      </x:c>
      <x:c r="J180" s="48" t="s">
        <x:v>1</x:v>
      </x:c>
      <x:c r="K180" s="48" t="s">
        <x:v>1</x:v>
      </x:c>
      <x:c r="L180" s="48" t="s">
        <x:v>1</x:v>
      </x:c>
      <x:c r="M180" s="48" t="s">
        <x:v>1</x:v>
      </x:c>
    </x:row>
    <x:row r="181">
      <x:c r="B181" s="48" t="s">
        <x:v>1</x:v>
      </x:c>
      <x:c r="C181" s="48" t="s">
        <x:v>1</x:v>
      </x:c>
      <x:c r="D181" s="48" t="s">
        <x:v>1</x:v>
      </x:c>
      <x:c r="E181" s="78" t="s">
        <x:v>1</x:v>
      </x:c>
      <x:c r="F181" s="48" t="s">
        <x:v>1</x:v>
      </x:c>
      <x:c r="G181" s="48" t="s">
        <x:v>1</x:v>
      </x:c>
      <x:c r="H181" s="48" t="s">
        <x:v>1</x:v>
      </x:c>
      <x:c r="I181" s="48" t="s">
        <x:v>1</x:v>
      </x:c>
      <x:c r="J181" s="48" t="s">
        <x:v>1</x:v>
      </x:c>
      <x:c r="K181" s="48" t="s">
        <x:v>1</x:v>
      </x:c>
      <x:c r="L181" s="48" t="s">
        <x:v>1</x:v>
      </x:c>
      <x:c r="M181" s="48" t="s">
        <x:v>1</x:v>
      </x:c>
    </x:row>
    <x:row r="182">
      <x:c r="B182" s="48" t="s">
        <x:v>1</x:v>
      </x:c>
      <x:c r="C182" s="48" t="s">
        <x:v>1</x:v>
      </x:c>
      <x:c r="D182" s="48" t="s">
        <x:v>1</x:v>
      </x:c>
      <x:c r="E182" s="78" t="s">
        <x:v>1</x:v>
      </x:c>
      <x:c r="F182" s="48" t="s">
        <x:v>1</x:v>
      </x:c>
      <x:c r="G182" s="48" t="s">
        <x:v>1</x:v>
      </x:c>
      <x:c r="H182" s="48" t="s">
        <x:v>1</x:v>
      </x:c>
      <x:c r="I182" s="48" t="s">
        <x:v>1</x:v>
      </x:c>
      <x:c r="J182" s="48" t="s">
        <x:v>1</x:v>
      </x:c>
      <x:c r="K182" s="48" t="s">
        <x:v>1</x:v>
      </x:c>
      <x:c r="L182" s="48" t="s">
        <x:v>1</x:v>
      </x:c>
      <x:c r="M182" s="48" t="s">
        <x:v>1</x:v>
      </x:c>
    </x:row>
    <x:row r="183">
      <x:c r="B183" s="48" t="s">
        <x:v>1</x:v>
      </x:c>
      <x:c r="C183" s="48" t="s">
        <x:v>1</x:v>
      </x:c>
      <x:c r="D183" s="48" t="s">
        <x:v>1</x:v>
      </x:c>
      <x:c r="E183" s="78" t="s">
        <x:v>1</x:v>
      </x:c>
      <x:c r="F183" s="48" t="s">
        <x:v>1</x:v>
      </x:c>
      <x:c r="G183" s="48" t="s">
        <x:v>1</x:v>
      </x:c>
      <x:c r="H183" s="48" t="s">
        <x:v>1</x:v>
      </x:c>
      <x:c r="I183" s="48" t="s">
        <x:v>1</x:v>
      </x:c>
      <x:c r="J183" s="48" t="s">
        <x:v>1</x:v>
      </x:c>
      <x:c r="K183" s="48" t="s">
        <x:v>1</x:v>
      </x:c>
      <x:c r="L183" s="48" t="s">
        <x:v>1</x:v>
      </x:c>
      <x:c r="M183" s="48" t="s">
        <x:v>1</x:v>
      </x:c>
    </x:row>
    <x:row r="184">
      <x:c r="B184" s="48" t="s">
        <x:v>1</x:v>
      </x:c>
      <x:c r="C184" s="48" t="s">
        <x:v>1</x:v>
      </x:c>
      <x:c r="D184" s="48" t="s">
        <x:v>1</x:v>
      </x:c>
      <x:c r="E184" s="78" t="s">
        <x:v>1</x:v>
      </x:c>
      <x:c r="F184" s="48" t="s">
        <x:v>1</x:v>
      </x:c>
      <x:c r="G184" s="48" t="s">
        <x:v>1</x:v>
      </x:c>
      <x:c r="H184" s="48" t="s">
        <x:v>1</x:v>
      </x:c>
      <x:c r="I184" s="48" t="s">
        <x:v>1</x:v>
      </x:c>
      <x:c r="J184" s="48" t="s">
        <x:v>1</x:v>
      </x:c>
      <x:c r="K184" s="48" t="s">
        <x:v>1</x:v>
      </x:c>
      <x:c r="L184" s="48" t="s">
        <x:v>1</x:v>
      </x:c>
      <x:c r="M184" s="48" t="s">
        <x:v>1</x:v>
      </x:c>
    </x:row>
    <x:row r="185">
      <x:c r="B185" s="48" t="s">
        <x:v>1</x:v>
      </x:c>
      <x:c r="C185" s="48" t="s">
        <x:v>1</x:v>
      </x:c>
      <x:c r="D185" s="48" t="s">
        <x:v>1</x:v>
      </x:c>
      <x:c r="E185" s="78" t="s">
        <x:v>1</x:v>
      </x:c>
      <x:c r="F185" s="48" t="s">
        <x:v>1</x:v>
      </x:c>
      <x:c r="G185" s="48" t="s">
        <x:v>1</x:v>
      </x:c>
      <x:c r="H185" s="48" t="s">
        <x:v>1</x:v>
      </x:c>
      <x:c r="I185" s="48" t="s">
        <x:v>1</x:v>
      </x:c>
      <x:c r="J185" s="48" t="s">
        <x:v>1</x:v>
      </x:c>
      <x:c r="K185" s="48" t="s">
        <x:v>1</x:v>
      </x:c>
      <x:c r="L185" s="48" t="s">
        <x:v>1</x:v>
      </x:c>
      <x:c r="M185" s="48" t="s">
        <x:v>1</x:v>
      </x:c>
    </x:row>
    <x:row r="186">
      <x:c r="B186" s="48" t="s">
        <x:v>1</x:v>
      </x:c>
      <x:c r="C186" s="48" t="s">
        <x:v>1</x:v>
      </x:c>
      <x:c r="D186" s="48" t="s">
        <x:v>1</x:v>
      </x:c>
      <x:c r="E186" s="78" t="s">
        <x:v>1</x:v>
      </x:c>
      <x:c r="F186" s="48" t="s">
        <x:v>1</x:v>
      </x:c>
      <x:c r="G186" s="48" t="s">
        <x:v>1</x:v>
      </x:c>
      <x:c r="H186" s="48" t="s">
        <x:v>1</x:v>
      </x:c>
      <x:c r="I186" s="48" t="s">
        <x:v>1</x:v>
      </x:c>
      <x:c r="J186" s="48" t="s">
        <x:v>1</x:v>
      </x:c>
      <x:c r="K186" s="48" t="s">
        <x:v>1</x:v>
      </x:c>
      <x:c r="L186" s="48" t="s">
        <x:v>1</x:v>
      </x:c>
      <x:c r="M186" s="48" t="s">
        <x:v>1</x:v>
      </x:c>
    </x:row>
    <x:row r="187">
      <x:c r="B187" s="48" t="s">
        <x:v>1</x:v>
      </x:c>
      <x:c r="C187" s="48" t="s">
        <x:v>1</x:v>
      </x:c>
      <x:c r="D187" s="48" t="s">
        <x:v>1</x:v>
      </x:c>
      <x:c r="E187" s="78" t="s">
        <x:v>1</x:v>
      </x:c>
      <x:c r="F187" s="48" t="s">
        <x:v>1</x:v>
      </x:c>
      <x:c r="G187" s="48" t="s">
        <x:v>1</x:v>
      </x:c>
      <x:c r="H187" s="48" t="s">
        <x:v>1</x:v>
      </x:c>
      <x:c r="I187" s="48" t="s">
        <x:v>1</x:v>
      </x:c>
      <x:c r="J187" s="48" t="s">
        <x:v>1</x:v>
      </x:c>
      <x:c r="K187" s="48" t="s">
        <x:v>1</x:v>
      </x:c>
      <x:c r="L187" s="48" t="s">
        <x:v>1</x:v>
      </x:c>
      <x:c r="M187" s="48" t="s">
        <x:v>1</x:v>
      </x:c>
    </x:row>
    <x:row r="188">
      <x:c r="B188" s="48" t="s">
        <x:v>1</x:v>
      </x:c>
      <x:c r="C188" s="48" t="s">
        <x:v>1</x:v>
      </x:c>
      <x:c r="D188" s="48" t="s">
        <x:v>1</x:v>
      </x:c>
      <x:c r="E188" s="78" t="s">
        <x:v>1</x:v>
      </x:c>
      <x:c r="F188" s="48" t="s">
        <x:v>1</x:v>
      </x:c>
      <x:c r="G188" s="48" t="s">
        <x:v>1</x:v>
      </x:c>
      <x:c r="H188" s="48" t="s">
        <x:v>1</x:v>
      </x:c>
      <x:c r="I188" s="48" t="s">
        <x:v>1</x:v>
      </x:c>
      <x:c r="J188" s="48" t="s">
        <x:v>1</x:v>
      </x:c>
      <x:c r="K188" s="48" t="s">
        <x:v>1</x:v>
      </x:c>
      <x:c r="L188" s="48" t="s">
        <x:v>1</x:v>
      </x:c>
      <x:c r="M188" s="48" t="s">
        <x:v>1</x:v>
      </x:c>
    </x:row>
    <x:row r="189">
      <x:c r="B189" s="48" t="s">
        <x:v>1</x:v>
      </x:c>
      <x:c r="C189" s="48" t="s">
        <x:v>1</x:v>
      </x:c>
      <x:c r="D189" s="48" t="s">
        <x:v>1</x:v>
      </x:c>
      <x:c r="E189" s="78" t="s">
        <x:v>1</x:v>
      </x:c>
      <x:c r="F189" s="48" t="s">
        <x:v>1</x:v>
      </x:c>
      <x:c r="G189" s="48" t="s">
        <x:v>1</x:v>
      </x:c>
      <x:c r="H189" s="48" t="s">
        <x:v>1</x:v>
      </x:c>
      <x:c r="I189" s="48" t="s">
        <x:v>1</x:v>
      </x:c>
      <x:c r="J189" s="48" t="s">
        <x:v>1</x:v>
      </x:c>
      <x:c r="K189" s="48" t="s">
        <x:v>1</x:v>
      </x:c>
      <x:c r="L189" s="48" t="s">
        <x:v>1</x:v>
      </x:c>
      <x:c r="M189" s="48" t="s">
        <x:v>1</x:v>
      </x:c>
    </x:row>
    <x:row r="190">
      <x:c r="B190" s="48" t="s">
        <x:v>1</x:v>
      </x:c>
      <x:c r="C190" s="48" t="s">
        <x:v>1</x:v>
      </x:c>
      <x:c r="D190" s="48" t="s">
        <x:v>1</x:v>
      </x:c>
      <x:c r="E190" s="78" t="s">
        <x:v>1</x:v>
      </x:c>
      <x:c r="F190" s="48" t="s">
        <x:v>1</x:v>
      </x:c>
      <x:c r="G190" s="48" t="s">
        <x:v>1</x:v>
      </x:c>
      <x:c r="H190" s="48" t="s">
        <x:v>1</x:v>
      </x:c>
      <x:c r="I190" s="48" t="s">
        <x:v>1</x:v>
      </x:c>
      <x:c r="J190" s="48" t="s">
        <x:v>1</x:v>
      </x:c>
      <x:c r="K190" s="48" t="s">
        <x:v>1</x:v>
      </x:c>
      <x:c r="L190" s="48" t="s">
        <x:v>1</x:v>
      </x:c>
      <x:c r="M190" s="48" t="s">
        <x:v>1</x:v>
      </x:c>
    </x:row>
    <x:row r="191">
      <x:c r="B191" s="48" t="s">
        <x:v>1</x:v>
      </x:c>
      <x:c r="C191" s="48" t="s">
        <x:v>1</x:v>
      </x:c>
      <x:c r="D191" s="48" t="s">
        <x:v>1</x:v>
      </x:c>
      <x:c r="E191" s="78" t="s">
        <x:v>1</x:v>
      </x:c>
      <x:c r="F191" s="48" t="s">
        <x:v>1</x:v>
      </x:c>
      <x:c r="G191" s="48" t="s">
        <x:v>1</x:v>
      </x:c>
      <x:c r="H191" s="48" t="s">
        <x:v>1</x:v>
      </x:c>
      <x:c r="I191" s="48" t="s">
        <x:v>1</x:v>
      </x:c>
      <x:c r="J191" s="48" t="s">
        <x:v>1</x:v>
      </x:c>
      <x:c r="K191" s="48" t="s">
        <x:v>1</x:v>
      </x:c>
      <x:c r="L191" s="48" t="s">
        <x:v>1</x:v>
      </x:c>
      <x:c r="M191" s="48" t="s">
        <x:v>1</x:v>
      </x:c>
    </x:row>
    <x:row r="192">
      <x:c r="B192" s="48" t="s">
        <x:v>1</x:v>
      </x:c>
      <x:c r="C192" s="48" t="s">
        <x:v>1</x:v>
      </x:c>
      <x:c r="D192" s="48" t="s">
        <x:v>1</x:v>
      </x:c>
      <x:c r="E192" s="78" t="s">
        <x:v>1</x:v>
      </x:c>
      <x:c r="F192" s="48" t="s">
        <x:v>1</x:v>
      </x:c>
      <x:c r="G192" s="48" t="s">
        <x:v>1</x:v>
      </x:c>
      <x:c r="H192" s="48" t="s">
        <x:v>1</x:v>
      </x:c>
      <x:c r="I192" s="48" t="s">
        <x:v>1</x:v>
      </x:c>
      <x:c r="J192" s="48" t="s">
        <x:v>1</x:v>
      </x:c>
      <x:c r="K192" s="48" t="s">
        <x:v>1</x:v>
      </x:c>
      <x:c r="L192" s="48" t="s">
        <x:v>1</x:v>
      </x:c>
      <x:c r="M192" s="48" t="s">
        <x:v>1</x:v>
      </x:c>
    </x:row>
    <x:row r="193">
      <x:c r="B193" s="48" t="s">
        <x:v>1</x:v>
      </x:c>
      <x:c r="C193" s="48" t="s">
        <x:v>1</x:v>
      </x:c>
      <x:c r="D193" s="48" t="s">
        <x:v>1</x:v>
      </x:c>
      <x:c r="E193" s="78" t="s">
        <x:v>1</x:v>
      </x:c>
      <x:c r="F193" s="48" t="s">
        <x:v>1</x:v>
      </x:c>
      <x:c r="G193" s="48" t="s">
        <x:v>1</x:v>
      </x:c>
      <x:c r="H193" s="48" t="s">
        <x:v>1</x:v>
      </x:c>
      <x:c r="I193" s="48" t="s">
        <x:v>1</x:v>
      </x:c>
      <x:c r="J193" s="48" t="s">
        <x:v>1</x:v>
      </x:c>
      <x:c r="K193" s="48" t="s">
        <x:v>1</x:v>
      </x:c>
      <x:c r="L193" s="48" t="s">
        <x:v>1</x:v>
      </x:c>
      <x:c r="M193" s="48" t="s">
        <x:v>1</x:v>
      </x:c>
    </x:row>
    <x:row r="194">
      <x:c r="B194" s="48" t="s">
        <x:v>1</x:v>
      </x:c>
      <x:c r="C194" s="48" t="s">
        <x:v>1</x:v>
      </x:c>
      <x:c r="D194" s="48" t="s">
        <x:v>1</x:v>
      </x:c>
      <x:c r="E194" s="78" t="s">
        <x:v>1</x:v>
      </x:c>
      <x:c r="F194" s="48" t="s">
        <x:v>1</x:v>
      </x:c>
      <x:c r="G194" s="48" t="s">
        <x:v>1</x:v>
      </x:c>
      <x:c r="H194" s="48" t="s">
        <x:v>1</x:v>
      </x:c>
      <x:c r="I194" s="48" t="s">
        <x:v>1</x:v>
      </x:c>
      <x:c r="J194" s="48" t="s">
        <x:v>1</x:v>
      </x:c>
      <x:c r="K194" s="48" t="s">
        <x:v>1</x:v>
      </x:c>
      <x:c r="L194" s="48" t="s">
        <x:v>1</x:v>
      </x:c>
      <x:c r="M194" s="48" t="s">
        <x:v>1</x:v>
      </x:c>
    </x:row>
    <x:row r="195">
      <x:c r="B195" s="48" t="s">
        <x:v>1</x:v>
      </x:c>
      <x:c r="C195" s="48" t="s">
        <x:v>1</x:v>
      </x:c>
      <x:c r="D195" s="48" t="s">
        <x:v>1</x:v>
      </x:c>
      <x:c r="E195" s="78" t="s">
        <x:v>1</x:v>
      </x:c>
      <x:c r="F195" s="48" t="s">
        <x:v>1</x:v>
      </x:c>
      <x:c r="G195" s="48" t="s">
        <x:v>1</x:v>
      </x:c>
      <x:c r="H195" s="48" t="s">
        <x:v>1</x:v>
      </x:c>
      <x:c r="I195" s="48" t="s">
        <x:v>1</x:v>
      </x:c>
      <x:c r="J195" s="48" t="s">
        <x:v>1</x:v>
      </x:c>
      <x:c r="K195" s="48" t="s">
        <x:v>1</x:v>
      </x:c>
      <x:c r="L195" s="48" t="s">
        <x:v>1</x:v>
      </x:c>
      <x:c r="M195" s="48" t="s">
        <x:v>1</x:v>
      </x:c>
    </x:row>
    <x:row r="196">
      <x:c r="B196" s="48" t="s">
        <x:v>1</x:v>
      </x:c>
      <x:c r="C196" s="48" t="s">
        <x:v>1</x:v>
      </x:c>
      <x:c r="D196" s="48" t="s">
        <x:v>1</x:v>
      </x:c>
      <x:c r="E196" s="78" t="s">
        <x:v>1</x:v>
      </x:c>
      <x:c r="F196" s="48" t="s">
        <x:v>1</x:v>
      </x:c>
      <x:c r="G196" s="48" t="s">
        <x:v>1</x:v>
      </x:c>
      <x:c r="H196" s="48" t="s">
        <x:v>1</x:v>
      </x:c>
      <x:c r="I196" s="48" t="s">
        <x:v>1</x:v>
      </x:c>
      <x:c r="J196" s="48" t="s">
        <x:v>1</x:v>
      </x:c>
      <x:c r="K196" s="48" t="s">
        <x:v>1</x:v>
      </x:c>
      <x:c r="L196" s="48" t="s">
        <x:v>1</x:v>
      </x:c>
      <x:c r="M196" s="48" t="s">
        <x:v>1</x:v>
      </x:c>
    </x:row>
    <x:row r="197">
      <x:c r="B197" s="48" t="s">
        <x:v>1</x:v>
      </x:c>
      <x:c r="C197" s="48" t="s">
        <x:v>1</x:v>
      </x:c>
      <x:c r="D197" s="48" t="s">
        <x:v>1</x:v>
      </x:c>
      <x:c r="E197" s="78" t="s">
        <x:v>1</x:v>
      </x:c>
      <x:c r="F197" s="48" t="s">
        <x:v>1</x:v>
      </x:c>
      <x:c r="G197" s="48" t="s">
        <x:v>1</x:v>
      </x:c>
      <x:c r="H197" s="48" t="s">
        <x:v>1</x:v>
      </x:c>
      <x:c r="I197" s="48" t="s">
        <x:v>1</x:v>
      </x:c>
      <x:c r="J197" s="48" t="s">
        <x:v>1</x:v>
      </x:c>
      <x:c r="K197" s="48" t="s">
        <x:v>1</x:v>
      </x:c>
      <x:c r="L197" s="48" t="s">
        <x:v>1</x:v>
      </x:c>
      <x:c r="M197" s="48" t="s">
        <x:v>1</x:v>
      </x:c>
    </x:row>
    <x:row r="198">
      <x:c r="B198" s="48" t="s">
        <x:v>1</x:v>
      </x:c>
      <x:c r="C198" s="48" t="s">
        <x:v>1</x:v>
      </x:c>
      <x:c r="D198" s="48" t="s">
        <x:v>1</x:v>
      </x:c>
      <x:c r="E198" s="78" t="s">
        <x:v>1</x:v>
      </x:c>
      <x:c r="F198" s="48" t="s">
        <x:v>1</x:v>
      </x:c>
      <x:c r="G198" s="48" t="s">
        <x:v>1</x:v>
      </x:c>
      <x:c r="H198" s="48" t="s">
        <x:v>1</x:v>
      </x:c>
      <x:c r="I198" s="48" t="s">
        <x:v>1</x:v>
      </x:c>
      <x:c r="J198" s="48" t="s">
        <x:v>1</x:v>
      </x:c>
      <x:c r="K198" s="48" t="s">
        <x:v>1</x:v>
      </x:c>
      <x:c r="L198" s="48" t="s">
        <x:v>1</x:v>
      </x:c>
      <x:c r="M198" s="48" t="s">
        <x:v>1</x:v>
      </x:c>
    </x:row>
    <x:row r="199">
      <x:c r="B199" s="48" t="s">
        <x:v>1</x:v>
      </x:c>
      <x:c r="C199" s="48" t="s">
        <x:v>1</x:v>
      </x:c>
      <x:c r="D199" s="48" t="s">
        <x:v>1</x:v>
      </x:c>
      <x:c r="E199" s="78" t="s">
        <x:v>1</x:v>
      </x:c>
      <x:c r="F199" s="48" t="s">
        <x:v>1</x:v>
      </x:c>
      <x:c r="G199" s="48" t="s">
        <x:v>1</x:v>
      </x:c>
      <x:c r="H199" s="48" t="s">
        <x:v>1</x:v>
      </x:c>
      <x:c r="I199" s="48" t="s">
        <x:v>1</x:v>
      </x:c>
      <x:c r="J199" s="48" t="s">
        <x:v>1</x:v>
      </x:c>
      <x:c r="K199" s="48" t="s">
        <x:v>1</x:v>
      </x:c>
      <x:c r="L199" s="48" t="s">
        <x:v>1</x:v>
      </x:c>
      <x:c r="M199" s="48" t="s">
        <x:v>1</x:v>
      </x:c>
    </x:row>
    <x:row r="200">
      <x:c r="B200" s="48" t="s">
        <x:v>1</x:v>
      </x:c>
      <x:c r="C200" s="48" t="s">
        <x:v>1</x:v>
      </x:c>
      <x:c r="D200" s="48" t="s">
        <x:v>1</x:v>
      </x:c>
      <x:c r="E200" s="78" t="s">
        <x:v>1</x:v>
      </x:c>
      <x:c r="F200" s="48" t="s">
        <x:v>1</x:v>
      </x:c>
      <x:c r="G200" s="48" t="s">
        <x:v>1</x:v>
      </x:c>
      <x:c r="H200" s="48" t="s">
        <x:v>1</x:v>
      </x:c>
      <x:c r="I200" s="48" t="s">
        <x:v>1</x:v>
      </x:c>
      <x:c r="J200" s="48" t="s">
        <x:v>1</x:v>
      </x:c>
      <x:c r="K200" s="48" t="s">
        <x:v>1</x:v>
      </x:c>
      <x:c r="L200" s="48" t="s">
        <x:v>1</x:v>
      </x:c>
      <x:c r="M200" s="48" t="s">
        <x:v>1</x:v>
      </x:c>
    </x:row>
    <x:row r="201">
      <x:c r="B201" s="48" t="s">
        <x:v>1</x:v>
      </x:c>
      <x:c r="C201" s="48" t="s">
        <x:v>1</x:v>
      </x:c>
      <x:c r="D201" s="48" t="s">
        <x:v>1</x:v>
      </x:c>
      <x:c r="E201" s="78" t="s">
        <x:v>1</x:v>
      </x:c>
      <x:c r="F201" s="48" t="s">
        <x:v>1</x:v>
      </x:c>
      <x:c r="G201" s="48" t="s">
        <x:v>1</x:v>
      </x:c>
      <x:c r="H201" s="48" t="s">
        <x:v>1</x:v>
      </x:c>
      <x:c r="I201" s="48" t="s">
        <x:v>1</x:v>
      </x:c>
      <x:c r="J201" s="48" t="s">
        <x:v>1</x:v>
      </x:c>
      <x:c r="K201" s="48" t="s">
        <x:v>1</x:v>
      </x:c>
      <x:c r="L201" s="48" t="s">
        <x:v>1</x:v>
      </x:c>
      <x:c r="M201" s="48" t="s">
        <x:v>1</x:v>
      </x:c>
    </x:row>
    <x:row r="202">
      <x:c r="B202" s="48" t="s">
        <x:v>1</x:v>
      </x:c>
      <x:c r="C202" s="48" t="s">
        <x:v>1</x:v>
      </x:c>
      <x:c r="D202" s="48" t="s">
        <x:v>1</x:v>
      </x:c>
      <x:c r="E202" s="78" t="s">
        <x:v>1</x:v>
      </x:c>
      <x:c r="F202" s="48" t="s">
        <x:v>1</x:v>
      </x:c>
      <x:c r="G202" s="48" t="s">
        <x:v>1</x:v>
      </x:c>
      <x:c r="H202" s="48" t="s">
        <x:v>1</x:v>
      </x:c>
      <x:c r="I202" s="48" t="s">
        <x:v>1</x:v>
      </x:c>
      <x:c r="J202" s="48" t="s">
        <x:v>1</x:v>
      </x:c>
      <x:c r="K202" s="48" t="s">
        <x:v>1</x:v>
      </x:c>
      <x:c r="L202" s="48" t="s">
        <x:v>1</x:v>
      </x:c>
      <x:c r="M202" s="48" t="s">
        <x:v>1</x:v>
      </x:c>
    </x:row>
    <x:row r="203">
      <x:c r="B203" s="48" t="s">
        <x:v>1</x:v>
      </x:c>
      <x:c r="C203" s="48" t="s">
        <x:v>1</x:v>
      </x:c>
      <x:c r="D203" s="48" t="s">
        <x:v>1</x:v>
      </x:c>
      <x:c r="E203" s="78" t="s">
        <x:v>1</x:v>
      </x:c>
      <x:c r="F203" s="48" t="s">
        <x:v>1</x:v>
      </x:c>
      <x:c r="G203" s="48" t="s">
        <x:v>1</x:v>
      </x:c>
      <x:c r="H203" s="48" t="s">
        <x:v>1</x:v>
      </x:c>
      <x:c r="I203" s="48" t="s">
        <x:v>1</x:v>
      </x:c>
      <x:c r="J203" s="48" t="s">
        <x:v>1</x:v>
      </x:c>
      <x:c r="K203" s="48" t="s">
        <x:v>1</x:v>
      </x:c>
      <x:c r="L203" s="48" t="s">
        <x:v>1</x:v>
      </x:c>
      <x:c r="M203" s="48" t="s">
        <x:v>1</x:v>
      </x:c>
    </x:row>
    <x:row r="204">
      <x:c r="B204" s="48" t="s">
        <x:v>1</x:v>
      </x:c>
      <x:c r="C204" s="48" t="s">
        <x:v>1</x:v>
      </x:c>
      <x:c r="D204" s="48" t="s">
        <x:v>1</x:v>
      </x:c>
      <x:c r="E204" s="78" t="s">
        <x:v>1</x:v>
      </x:c>
      <x:c r="F204" s="48" t="s">
        <x:v>1</x:v>
      </x:c>
      <x:c r="G204" s="48" t="s">
        <x:v>1</x:v>
      </x:c>
      <x:c r="H204" s="48" t="s">
        <x:v>1</x:v>
      </x:c>
      <x:c r="I204" s="48" t="s">
        <x:v>1</x:v>
      </x:c>
      <x:c r="J204" s="48" t="s">
        <x:v>1</x:v>
      </x:c>
      <x:c r="K204" s="48" t="s">
        <x:v>1</x:v>
      </x:c>
      <x:c r="L204" s="48" t="s">
        <x:v>1</x:v>
      </x:c>
      <x:c r="M204" s="48" t="s">
        <x:v>1</x:v>
      </x:c>
    </x:row>
    <x:row r="205">
      <x:c r="B205" s="48" t="s">
        <x:v>1</x:v>
      </x:c>
      <x:c r="C205" s="48" t="s">
        <x:v>1</x:v>
      </x:c>
      <x:c r="D205" s="48" t="s">
        <x:v>1</x:v>
      </x:c>
      <x:c r="E205" s="78" t="s">
        <x:v>1</x:v>
      </x:c>
      <x:c r="F205" s="48" t="s">
        <x:v>1</x:v>
      </x:c>
      <x:c r="G205" s="48" t="s">
        <x:v>1</x:v>
      </x:c>
      <x:c r="H205" s="48" t="s">
        <x:v>1</x:v>
      </x:c>
      <x:c r="I205" s="48" t="s">
        <x:v>1</x:v>
      </x:c>
      <x:c r="J205" s="48" t="s">
        <x:v>1</x:v>
      </x:c>
      <x:c r="K205" s="48" t="s">
        <x:v>1</x:v>
      </x:c>
      <x:c r="L205" s="48" t="s">
        <x:v>1</x:v>
      </x:c>
      <x:c r="M205" s="48" t="s">
        <x:v>1</x:v>
      </x:c>
    </x:row>
    <x:row r="206">
      <x:c r="B206" s="48" t="s">
        <x:v>1</x:v>
      </x:c>
      <x:c r="C206" s="48" t="s">
        <x:v>1</x:v>
      </x:c>
      <x:c r="D206" s="48" t="s">
        <x:v>1</x:v>
      </x:c>
      <x:c r="E206" s="78" t="s">
        <x:v>1</x:v>
      </x:c>
      <x:c r="F206" s="48" t="s">
        <x:v>1</x:v>
      </x:c>
      <x:c r="G206" s="48" t="s">
        <x:v>1</x:v>
      </x:c>
      <x:c r="H206" s="48" t="s">
        <x:v>1</x:v>
      </x:c>
      <x:c r="I206" s="48" t="s">
        <x:v>1</x:v>
      </x:c>
      <x:c r="J206" s="48" t="s">
        <x:v>1</x:v>
      </x:c>
      <x:c r="K206" s="48" t="s">
        <x:v>1</x:v>
      </x:c>
      <x:c r="L206" s="48" t="s">
        <x:v>1</x:v>
      </x:c>
      <x:c r="M206" s="48" t="s">
        <x:v>1</x:v>
      </x:c>
    </x:row>
    <x:row r="207">
      <x:c r="B207" s="48" t="s">
        <x:v>1</x:v>
      </x:c>
      <x:c r="C207" s="48" t="s">
        <x:v>1</x:v>
      </x:c>
      <x:c r="D207" s="48" t="s">
        <x:v>1</x:v>
      </x:c>
      <x:c r="E207" s="78" t="s">
        <x:v>1</x:v>
      </x:c>
      <x:c r="F207" s="48" t="s">
        <x:v>1</x:v>
      </x:c>
      <x:c r="G207" s="48" t="s">
        <x:v>1</x:v>
      </x:c>
      <x:c r="H207" s="48" t="s">
        <x:v>1</x:v>
      </x:c>
      <x:c r="I207" s="48" t="s">
        <x:v>1</x:v>
      </x:c>
      <x:c r="J207" s="48" t="s">
        <x:v>1</x:v>
      </x:c>
      <x:c r="K207" s="48" t="s">
        <x:v>1</x:v>
      </x:c>
      <x:c r="L207" s="48" t="s">
        <x:v>1</x:v>
      </x:c>
      <x:c r="M207" s="48" t="s">
        <x:v>1</x:v>
      </x:c>
    </x:row>
    <x:row r="208">
      <x:c r="B208" s="48" t="s">
        <x:v>1</x:v>
      </x:c>
      <x:c r="C208" s="48" t="s">
        <x:v>1</x:v>
      </x:c>
      <x:c r="D208" s="48" t="s">
        <x:v>1</x:v>
      </x:c>
      <x:c r="E208" s="78" t="s">
        <x:v>1</x:v>
      </x:c>
      <x:c r="F208" s="48" t="s">
        <x:v>1</x:v>
      </x:c>
      <x:c r="G208" s="48" t="s">
        <x:v>1</x:v>
      </x:c>
      <x:c r="H208" s="48" t="s">
        <x:v>1</x:v>
      </x:c>
      <x:c r="I208" s="48" t="s">
        <x:v>1</x:v>
      </x:c>
      <x:c r="J208" s="48" t="s">
        <x:v>1</x:v>
      </x:c>
      <x:c r="K208" s="48" t="s">
        <x:v>1</x:v>
      </x:c>
      <x:c r="L208" s="48" t="s">
        <x:v>1</x:v>
      </x:c>
      <x:c r="M208" s="48" t="s">
        <x:v>1</x:v>
      </x:c>
    </x:row>
    <x:row r="209">
      <x:c r="B209" s="48" t="s">
        <x:v>1</x:v>
      </x:c>
      <x:c r="C209" s="48" t="s">
        <x:v>1</x:v>
      </x:c>
      <x:c r="D209" s="48" t="s">
        <x:v>1</x:v>
      </x:c>
      <x:c r="E209" s="78" t="s">
        <x:v>1</x:v>
      </x:c>
      <x:c r="F209" s="48" t="s">
        <x:v>1</x:v>
      </x:c>
      <x:c r="G209" s="48" t="s">
        <x:v>1</x:v>
      </x:c>
      <x:c r="H209" s="48" t="s">
        <x:v>1</x:v>
      </x:c>
      <x:c r="I209" s="48" t="s">
        <x:v>1</x:v>
      </x:c>
      <x:c r="J209" s="48" t="s">
        <x:v>1</x:v>
      </x:c>
      <x:c r="K209" s="48" t="s">
        <x:v>1</x:v>
      </x:c>
      <x:c r="L209" s="48" t="s">
        <x:v>1</x:v>
      </x:c>
      <x:c r="M209" s="48" t="s">
        <x:v>1</x:v>
      </x:c>
    </x:row>
    <x:row r="210">
      <x:c r="B210" s="48" t="s">
        <x:v>1</x:v>
      </x:c>
      <x:c r="C210" s="48" t="s">
        <x:v>1</x:v>
      </x:c>
      <x:c r="D210" s="48" t="s">
        <x:v>1</x:v>
      </x:c>
      <x:c r="E210" s="79" t="s">
        <x:v>1</x:v>
      </x:c>
      <x:c r="F210" s="48" t="s">
        <x:v>1</x:v>
      </x:c>
      <x:c r="G210" s="48" t="s">
        <x:v>1</x:v>
      </x:c>
      <x:c r="H210" s="48" t="s">
        <x:v>1</x:v>
      </x:c>
      <x:c r="I210" s="48" t="s">
        <x:v>1</x:v>
      </x:c>
      <x:c r="J210" s="48" t="s">
        <x:v>1</x:v>
      </x:c>
      <x:c r="K210" s="48" t="s">
        <x:v>1</x:v>
      </x:c>
      <x:c r="L210" s="48" t="s">
        <x:v>1</x:v>
      </x:c>
      <x:c r="M210" s="48" t="s">
        <x:v>1</x:v>
      </x:c>
    </x:row>
    <x:row r="211">
      <x:c r="B211" s="48" t="s">
        <x:v>1</x:v>
      </x:c>
      <x:c r="C211" s="48" t="s">
        <x:v>1</x:v>
      </x:c>
      <x:c r="D211" s="48" t="s">
        <x:v>1</x:v>
      </x:c>
      <x:c r="E211" s="79" t="s">
        <x:v>1</x:v>
      </x:c>
      <x:c r="F211" s="48" t="s">
        <x:v>1</x:v>
      </x:c>
      <x:c r="G211" s="48" t="s">
        <x:v>1</x:v>
      </x:c>
      <x:c r="H211" s="48" t="s">
        <x:v>1</x:v>
      </x:c>
      <x:c r="I211" s="48" t="s">
        <x:v>1</x:v>
      </x:c>
      <x:c r="J211" s="48" t="s">
        <x:v>1</x:v>
      </x:c>
      <x:c r="K211" s="48" t="s">
        <x:v>1</x:v>
      </x:c>
      <x:c r="L211" s="48" t="s">
        <x:v>1</x:v>
      </x:c>
      <x:c r="M211" s="48" t="s">
        <x:v>1</x:v>
      </x:c>
    </x:row>
    <x:row r="212">
      <x:c r="B212" s="48" t="s">
        <x:v>1</x:v>
      </x:c>
      <x:c r="C212" s="48" t="s">
        <x:v>1</x:v>
      </x:c>
      <x:c r="D212" s="48" t="s">
        <x:v>1</x:v>
      </x:c>
      <x:c r="E212" s="80" t="s">
        <x:v>1</x:v>
      </x:c>
      <x:c r="F212" s="48" t="s">
        <x:v>1</x:v>
      </x:c>
      <x:c r="G212" s="48" t="s">
        <x:v>1</x:v>
      </x:c>
      <x:c r="H212" s="48" t="s">
        <x:v>1</x:v>
      </x:c>
      <x:c r="I212" s="48" t="s">
        <x:v>1</x:v>
      </x:c>
      <x:c r="J212" s="48" t="s">
        <x:v>1</x:v>
      </x:c>
      <x:c r="K212" s="48" t="s">
        <x:v>1</x:v>
      </x:c>
      <x:c r="L212" s="48" t="s">
        <x:v>1</x:v>
      </x:c>
      <x:c r="M212" s="48" t="s">
        <x:v>1</x:v>
      </x:c>
    </x:row>
    <x:row r="213">
      <x:c r="B213" s="48" t="s">
        <x:v>1</x:v>
      </x:c>
      <x:c r="C213" s="48" t="s">
        <x:v>1</x:v>
      </x:c>
      <x:c r="D213" s="48" t="s">
        <x:v>1</x:v>
      </x:c>
      <x:c r="E213" s="80" t="s">
        <x:v>1</x:v>
      </x:c>
      <x:c r="F213" s="48" t="s">
        <x:v>1</x:v>
      </x:c>
      <x:c r="G213" s="48" t="s">
        <x:v>1</x:v>
      </x:c>
      <x:c r="H213" s="48" t="s">
        <x:v>1</x:v>
      </x:c>
      <x:c r="I213" s="48" t="s">
        <x:v>1</x:v>
      </x:c>
      <x:c r="J213" s="48" t="s">
        <x:v>1</x:v>
      </x:c>
      <x:c r="K213" s="48" t="s">
        <x:v>1</x:v>
      </x:c>
      <x:c r="L213" s="48" t="s">
        <x:v>1</x:v>
      </x:c>
      <x:c r="M213" s="48" t="s">
        <x:v>1</x:v>
      </x:c>
    </x:row>
  </x:sheetData>
  <x:mergeCells>
    <x:mergeCell ref="B1:B2"/>
    <x:mergeCell ref="C1:C2"/>
    <x:mergeCell ref="D1:D2"/>
    <x:mergeCell ref="J1:J2"/>
    <x:mergeCell ref="A1:A2"/>
    <x:mergeCell ref="E1:E2"/>
    <x:mergeCell ref="F1:H1"/>
    <x:mergeCell ref="N10:O10"/>
    <x:mergeCell ref="N1:N2"/>
    <x:mergeCell ref="O1:O2"/>
    <x:mergeCell ref="P1:P2"/>
    <x:mergeCell ref="Q1:Q2"/>
    <x:mergeCell ref="R1:R2"/>
    <x:mergeCell ref="S1:S2"/>
    <x:mergeCell ref="T1:T2"/>
    <x:mergeCell ref="U1:U2"/>
    <x:mergeCell ref="I1:I2"/>
    <x:mergeCell ref="V1:V2"/>
  </x:mergeCells>
  <x:dataValidations count="1">
    <x:dataValidation type="list" errorStyle="stop" allowBlank="1" showDropDown="0" showInputMessage="1" showErrorMessage="1" sqref="E3:E1048576">
      <x:formula1>"是,否,"</x:formula1>
    </x:dataValidation>
  </x:dataValidations>
  <x:hyperlinks>
    <x:hyperlink xmlns:r="http://schemas.openxmlformats.org/officeDocument/2006/relationships" ref="D3" r:id="Rc1fbb339cfeb4fe5"/>
    <x:hyperlink xmlns:r="http://schemas.openxmlformats.org/officeDocument/2006/relationships" ref="D4" r:id="R2928b13551be4ba7"/>
    <x:hyperlink xmlns:r="http://schemas.openxmlformats.org/officeDocument/2006/relationships" ref="D5" r:id="R50bb0973f58d428d"/>
    <x:hyperlink xmlns:r="http://schemas.openxmlformats.org/officeDocument/2006/relationships" ref="D6" r:id="Rc26c69af09594732"/>
    <x:hyperlink xmlns:r="http://schemas.openxmlformats.org/officeDocument/2006/relationships" ref="D7" r:id="R08646619c8d04fad"/>
    <x:hyperlink xmlns:r="http://schemas.openxmlformats.org/officeDocument/2006/relationships" ref="D8" r:id="Rf1ea88d4b7594acb"/>
    <x:hyperlink xmlns:r="http://schemas.openxmlformats.org/officeDocument/2006/relationships" ref="D9" r:id="R582c7f4bbdfb41a8"/>
    <x:hyperlink xmlns:r="http://schemas.openxmlformats.org/officeDocument/2006/relationships" ref="D10" r:id="R8c55d08349484cc7"/>
    <x:hyperlink xmlns:r="http://schemas.openxmlformats.org/officeDocument/2006/relationships" ref="D11" r:id="R24213830a5b64ba8"/>
    <x:hyperlink xmlns:r="http://schemas.openxmlformats.org/officeDocument/2006/relationships" ref="D12" r:id="Rcffb2b70f9af4396"/>
    <x:hyperlink xmlns:r="http://schemas.openxmlformats.org/officeDocument/2006/relationships" ref="D14" r:id="R42198f67bf0342af"/>
    <x:hyperlink xmlns:r="http://schemas.openxmlformats.org/officeDocument/2006/relationships" ref="D15" r:id="R8aebd09a67ba4221"/>
    <x:hyperlink xmlns:r="http://schemas.openxmlformats.org/officeDocument/2006/relationships" ref="D16" r:id="R10089f6e823843b3"/>
    <x:hyperlink xmlns:r="http://schemas.openxmlformats.org/officeDocument/2006/relationships" ref="D17" r:id="R81b911e4ff9041a9"/>
    <x:hyperlink xmlns:r="http://schemas.openxmlformats.org/officeDocument/2006/relationships" ref="D18" r:id="Rf2a34c8d86fd4e26"/>
    <x:hyperlink xmlns:r="http://schemas.openxmlformats.org/officeDocument/2006/relationships" ref="D19" r:id="R1336c14996354220"/>
    <x:hyperlink xmlns:r="http://schemas.openxmlformats.org/officeDocument/2006/relationships" ref="D20" r:id="Reff713244e804fec"/>
    <x:hyperlink xmlns:r="http://schemas.openxmlformats.org/officeDocument/2006/relationships" ref="D22" r:id="Rb0e9efad5c6a4455"/>
    <x:hyperlink xmlns:r="http://schemas.openxmlformats.org/officeDocument/2006/relationships" ref="D23" r:id="Raf201742d78e46a3"/>
    <x:hyperlink xmlns:r="http://schemas.openxmlformats.org/officeDocument/2006/relationships" ref="D24" r:id="R43241c3649c94158"/>
    <x:hyperlink xmlns:r="http://schemas.openxmlformats.org/officeDocument/2006/relationships" ref="D25" r:id="Rec7c444782b84b94"/>
    <x:hyperlink xmlns:r="http://schemas.openxmlformats.org/officeDocument/2006/relationships" ref="D26" r:id="R03413f12ac4944b8"/>
    <x:hyperlink xmlns:r="http://schemas.openxmlformats.org/officeDocument/2006/relationships" ref="D27" r:id="R537db2cc445c4e93"/>
    <x:hyperlink xmlns:r="http://schemas.openxmlformats.org/officeDocument/2006/relationships" ref="D28" r:id="Ra7e7574a59be412a"/>
    <x:hyperlink xmlns:r="http://schemas.openxmlformats.org/officeDocument/2006/relationships" ref="D29" r:id="R12a0644729bd49dd"/>
    <x:hyperlink xmlns:r="http://schemas.openxmlformats.org/officeDocument/2006/relationships" ref="D30" r:id="Rd5c7d7097b534d7d"/>
    <x:hyperlink xmlns:r="http://schemas.openxmlformats.org/officeDocument/2006/relationships" ref="D31" r:id="R394ba664bbf04a74"/>
    <x:hyperlink xmlns:r="http://schemas.openxmlformats.org/officeDocument/2006/relationships" ref="D32" r:id="Re59682bb27434375"/>
    <x:hyperlink xmlns:r="http://schemas.openxmlformats.org/officeDocument/2006/relationships" ref="D33" r:id="Rda70a6a90d2b48ac"/>
    <x:hyperlink xmlns:r="http://schemas.openxmlformats.org/officeDocument/2006/relationships" ref="D34" r:id="Ra553a99ef2f94771"/>
    <x:hyperlink xmlns:r="http://schemas.openxmlformats.org/officeDocument/2006/relationships" ref="D35" r:id="Ra7842a5a33b549ad"/>
    <x:hyperlink xmlns:r="http://schemas.openxmlformats.org/officeDocument/2006/relationships" ref="D36" r:id="Rf17a2b9a55d14dd8"/>
    <x:hyperlink xmlns:r="http://schemas.openxmlformats.org/officeDocument/2006/relationships" ref="D37" r:id="R041ddb6aee904034"/>
    <x:hyperlink xmlns:r="http://schemas.openxmlformats.org/officeDocument/2006/relationships" ref="D38" r:id="Rb200a7501fba426c"/>
    <x:hyperlink xmlns:r="http://schemas.openxmlformats.org/officeDocument/2006/relationships" ref="D39" r:id="R19973b9b14ca4dd9"/>
    <x:hyperlink xmlns:r="http://schemas.openxmlformats.org/officeDocument/2006/relationships" ref="D40" r:id="R75982aa01b434743"/>
    <x:hyperlink xmlns:r="http://schemas.openxmlformats.org/officeDocument/2006/relationships" ref="D42" r:id="Rd4c649b2c96b43bd"/>
    <x:hyperlink xmlns:r="http://schemas.openxmlformats.org/officeDocument/2006/relationships" ref="D43" r:id="R3303fc06d0f942e8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30A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.75" hidden="0" customWidth="1"/>
    <x:col min="2" max="2" width="11.880000114440918" hidden="0" customWidth="1"/>
    <x:col min="3" max="3" width="11.25" hidden="0" customWidth="1"/>
    <x:col min="4" max="4" width="9" hidden="0" customWidth="1"/>
    <x:col min="5" max="5" width="11.880000114440918" hidden="0" customWidth="1"/>
    <x:col min="6" max="6" width="8.130000114440918" hidden="0" customWidth="1"/>
    <x:col min="7" max="7" width="11.880000114440918" hidden="0" customWidth="1"/>
    <x:col min="8" max="8" width="15.630000114440918" hidden="0" customWidth="1"/>
    <x:col min="9" max="9" width="15" hidden="0" customWidth="1"/>
    <x:col min="10" max="10" width="11.880000114440918" hidden="0" customWidth="1"/>
    <x:col min="11" max="11" width="13.130000114440918" hidden="0" customWidth="1"/>
    <x:col min="12" max="12" width="10.75" hidden="0" customWidth="1"/>
    <x:col min="13" max="13" width="11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12.25" hidden="0" customWidth="1"/>
    <x:col min="19" max="19" width="12.5" hidden="0" customWidth="1"/>
    <x:col min="20" max="20" width="12.5" hidden="0" customWidth="1"/>
    <x:col min="21" max="21" width="11.5" hidden="0" customWidth="1"/>
    <x:col min="22" max="22" width="11.25" hidden="0" customWidth="1"/>
    <x:col min="23" max="23" width="9.5" hidden="0" customWidth="1"/>
    <x:col min="24" max="24" width="28.75" hidden="0" customWidth="1"/>
  </x:cols>
  <x:sheetData>
    <x:row r="1" ht="44" customHeight="1">
      <x:c r="A1" s="91" t="str">
        <x:v>【内容事业部】抖音游戏类万元以下账号维护标准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  <x:c r="R1" s="92"/>
      <x:c r="S1" s="92"/>
      <x:c r="T1" s="92"/>
      <x:c r="U1" s="92"/>
      <x:c r="V1" s="92"/>
      <x:c r="W1" s="92"/>
      <x:c r="X1" s="93"/>
    </x:row>
    <x:row r="2" ht="34" customHeight="1">
      <x:c r="A2" s="113" t="str">
        <x:v>筛选口径：抖音、游戏类、定制报价＜10,000元，共20个账号。私单按该账号定制报价原价成交、不打折；平台单统一下7,000元定制并按7折结算，即成交价4,900元。维护总成本不得超过成交价30%。</x:v>
      </x:c>
      <x:c r="B2" s="114"/>
      <x:c r="C2" s="114"/>
      <x:c r="D2" s="114"/>
      <x:c r="E2" s="114"/>
      <x:c r="F2" s="114"/>
      <x:c r="G2" s="114"/>
      <x:c r="H2" s="114"/>
      <x:c r="I2" s="114"/>
      <x:c r="J2" s="114"/>
      <x:c r="K2" s="114"/>
      <x:c r="L2" s="114"/>
      <x:c r="M2" s="114"/>
      <x:c r="N2" s="114"/>
      <x:c r="O2" s="114"/>
      <x:c r="P2" s="114"/>
      <x:c r="Q2" s="114"/>
      <x:c r="R2" s="114"/>
      <x:c r="S2" s="114"/>
      <x:c r="T2" s="114"/>
      <x:c r="U2" s="114"/>
      <x:c r="V2" s="114"/>
      <x:c r="W2" s="114"/>
      <x:c r="X2" s="115"/>
    </x:row>
    <x:row r="3" ht="34" customHeight="1">
      <x:c r="A3" s="116" t="str">
        <x:v>参考原维护标准：目标柱状图播放量＝下单基准价×80%÷CPM30×1000；目标星图中位数＝下单基准价÷CPM200×1000×1.5。私单使用普通千川25元/万，平台单使用千川无视版55元/万。</x:v>
      </x:c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  <x:c r="Q3" s="117"/>
      <x:c r="R3" s="117"/>
      <x:c r="S3" s="117"/>
      <x:c r="T3" s="117"/>
      <x:c r="U3" s="117"/>
      <x:c r="V3" s="117"/>
      <x:c r="W3" s="117"/>
      <x:c r="X3" s="118"/>
    </x:row>
    <x:row r="4" ht="34" customHeight="1">
      <x:c r="A4" s="119" t="str">
        <x:v>HKJ基准为点赞200、评论15、收藏300、转发200（单价0.8/18/0.2/0.1元，共510元）。若扣除千川后的可用预算不足510元，则按该结构等比下调并向下取整，确保总维护比例≤30%。</x:v>
      </x:c>
      <x:c r="B4" s="120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  <x:c r="M4" s="120"/>
      <x:c r="N4" s="120"/>
      <x:c r="O4" s="120"/>
      <x:c r="P4" s="120"/>
      <x:c r="Q4" s="120"/>
      <x:c r="R4" s="120"/>
      <x:c r="S4" s="120"/>
      <x:c r="T4" s="120"/>
      <x:c r="U4" s="120"/>
      <x:c r="V4" s="120"/>
      <x:c r="W4" s="120"/>
      <x:c r="X4" s="121"/>
    </x:row>
    <x:row r="5" ht="24" customHeight="1">
      <x:c r="A5" s="85"/>
      <x:c r="B5" s="85"/>
      <x:c r="C5" s="85"/>
      <x:c r="D5" s="85"/>
      <x:c r="E5" s="85"/>
      <x:c r="F5" s="85"/>
      <x:c r="G5" s="85"/>
      <x:c r="H5" s="8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</x:row>
    <x:row r="6" ht="64" customHeight="1">
      <x:c r="A6" s="126" t="str">
        <x:v>账号</x:v>
      </x:c>
      <x:c r="B6" s="126" t="str">
        <x:v>询单定制报价</x:v>
      </x:c>
      <x:c r="C6" s="126" t="str">
        <x:v>原表私单价
（本标准不采用）</x:v>
      </x:c>
      <x:c r="D6" s="126" t="str">
        <x:v>订单类型</x:v>
      </x:c>
      <x:c r="E6" s="126" t="str">
        <x:v>下单基准价</x:v>
      </x:c>
      <x:c r="F6" s="126" t="str">
        <x:v>折扣</x:v>
      </x:c>
      <x:c r="G6" s="126" t="str">
        <x:v>折后成交价</x:v>
      </x:c>
      <x:c r="H6" s="126" t="str">
        <x:v>目标柱状图播放量
（定制CPM30）</x:v>
      </x:c>
      <x:c r="I6" s="126" t="str">
        <x:v>目标星图中位数
（30天）</x:v>
      </x:c>
      <x:c r="J6" s="126" t="str">
        <x:v>播放量缺口</x:v>
      </x:c>
      <x:c r="K6" s="126" t="str">
        <x:v>千川版本</x:v>
      </x:c>
      <x:c r="L6" s="126" t="str">
        <x:v>千川单价
（元/万）</x:v>
      </x:c>
      <x:c r="M6" s="126" t="str">
        <x:v>千川费用</x:v>
      </x:c>
      <x:c r="N6" s="126" t="str">
        <x:v>点赞目标</x:v>
      </x:c>
      <x:c r="O6" s="126" t="str">
        <x:v>评论目标</x:v>
      </x:c>
      <x:c r="P6" s="126" t="str">
        <x:v>收藏目标</x:v>
      </x:c>
      <x:c r="Q6" s="126" t="str">
        <x:v>转发目标</x:v>
      </x:c>
      <x:c r="R6" s="126" t="str">
        <x:v>HKJ互动费用</x:v>
      </x:c>
      <x:c r="S6" s="126" t="str">
        <x:v>总维护成本</x:v>
      </x:c>
      <x:c r="T6" s="126" t="str">
        <x:v>30%预算上限</x:v>
      </x:c>
      <x:c r="U6" s="126" t="str">
        <x:v>维护费占比</x:v>
      </x:c>
      <x:c r="V6" s="126" t="str">
        <x:v>预算结余</x:v>
      </x:c>
      <x:c r="W6" s="126" t="str">
        <x:v>是否合规</x:v>
      </x:c>
      <x:c r="X6" s="126" t="str">
        <x:v>主页链接</x:v>
      </x:c>
    </x:row>
    <x:row r="7" ht="26" customHeight="1">
      <x:c r="A7" s="130" t="str">
        <x:v>麦小雯</x:v>
      </x:c>
      <x:c r="B7" s="139" t="n">
        <x:v>6000</x:v>
      </x:c>
      <x:c r="C7" s="139" t="n">
        <x:v>3600</x:v>
      </x:c>
      <x:c r="D7" s="131" t="str">
        <x:v>私单</x:v>
      </x:c>
      <x:c r="E7" s="139" t="n">
        <x:v>6000</x:v>
      </x:c>
      <x:c r="F7" s="140" t="n">
        <x:v>1</x:v>
      </x:c>
      <x:c r="G7" s="139" t="n">
        <x:f>E7*F7</x:f>
        <x:v>6000</x:v>
      </x:c>
      <x:c r="H7" s="141" t="n">
        <x:f>E7*80%*1000/30</x:f>
        <x:v>160000</x:v>
      </x:c>
      <x:c r="I7" s="142" t="n">
        <x:f>E7/200*1000*1.5</x:f>
        <x:v>45000</x:v>
      </x:c>
      <x:c r="J7" s="141" t="n">
        <x:f>MAX(0,H7-I7)</x:f>
        <x:v>115000</x:v>
      </x:c>
      <x:c r="K7" s="133" t="str">
        <x:v>普通千川</x:v>
      </x:c>
      <x:c r="L7" s="144" t="n">
        <x:v>25</x:v>
      </x:c>
      <x:c r="M7" s="144" t="n">
        <x:f>J7/10000*L7</x:f>
        <x:v>287.5</x:v>
      </x:c>
      <x:c r="N7" s="141" t="n">
        <x:f>ROUNDDOWN(200*MIN(1,MAX(0,T7-M7)/510),0)</x:f>
        <x:v>200</x:v>
      </x:c>
      <x:c r="O7" s="141" t="n">
        <x:f>ROUNDDOWN(15*MIN(1,MAX(0,T7-M7)/510),0)</x:f>
        <x:v>15</x:v>
      </x:c>
      <x:c r="P7" s="141" t="n">
        <x:f>ROUNDDOWN(300*MIN(1,MAX(0,T7-M7)/510),0)</x:f>
        <x:v>300</x:v>
      </x:c>
      <x:c r="Q7" s="141" t="n">
        <x:f>ROUNDDOWN(200*MIN(1,MAX(0,T7-M7)/510),0)</x:f>
        <x:v>200</x:v>
      </x:c>
      <x:c r="R7" s="145" t="n">
        <x:f>N7*0.8+O7*18+P7*0.2+Q7*0.1</x:f>
        <x:v>510</x:v>
      </x:c>
      <x:c r="S7" s="146" t="n">
        <x:f>M7+R7</x:f>
        <x:v>797.5</x:v>
      </x:c>
      <x:c r="T7" s="146" t="n">
        <x:f>G7*30%</x:f>
        <x:v>1800</x:v>
      </x:c>
      <x:c r="U7" s="148" t="n">
        <x:f>S7/G7</x:f>
        <x:v>0.13291666666666666</x:v>
      </x:c>
      <x:c r="V7" s="146" t="n">
        <x:f>T7-S7</x:f>
        <x:v>1002.5</x:v>
      </x:c>
      <x:c r="W7" s="134" t="str">
        <x:f>IF(U7&lt;=30%,"合规","超预算")</x:f>
        <x:v>合规</x:v>
      </x:c>
      <x:c r="X7" s="137" t="str">
        <x:v>https://v.douyin.com/DcH2brXPgvc/</x:v>
      </x:c>
    </x:row>
    <x:row r="8" ht="26" customHeight="1">
      <x:c r="A8" s="130" t="str">
        <x:v>麦小雯</x:v>
      </x:c>
      <x:c r="B8" s="139" t="n">
        <x:v>6000</x:v>
      </x:c>
      <x:c r="C8" s="139" t="n">
        <x:v>3600</x:v>
      </x:c>
      <x:c r="D8" s="131" t="str">
        <x:v>平台单</x:v>
      </x:c>
      <x:c r="E8" s="139" t="n">
        <x:v>7000</x:v>
      </x:c>
      <x:c r="F8" s="140" t="n">
        <x:v>0.7</x:v>
      </x:c>
      <x:c r="G8" s="139" t="n">
        <x:f>E8*F8</x:f>
        <x:v>4900</x:v>
      </x:c>
      <x:c r="H8" s="141" t="n">
        <x:f>E8*80%*1000/30</x:f>
        <x:v>186666.66666666666</x:v>
      </x:c>
      <x:c r="I8" s="142" t="n">
        <x:f>E8/200*1000*1.5</x:f>
        <x:v>52500</x:v>
      </x:c>
      <x:c r="J8" s="141" t="n">
        <x:f>MAX(0,H8-I8)</x:f>
        <x:v>134166.66666666666</x:v>
      </x:c>
      <x:c r="K8" s="133" t="str">
        <x:v>千川无视版</x:v>
      </x:c>
      <x:c r="L8" s="144" t="n">
        <x:v>55</x:v>
      </x:c>
      <x:c r="M8" s="144" t="n">
        <x:f>J8/10000*L8</x:f>
        <x:v>737.9166666666666</x:v>
      </x:c>
      <x:c r="N8" s="141" t="n">
        <x:f>ROUNDDOWN(200*MIN(1,MAX(0,T8-M8)/510),0)</x:f>
        <x:v>200</x:v>
      </x:c>
      <x:c r="O8" s="141" t="n">
        <x:f>ROUNDDOWN(15*MIN(1,MAX(0,T8-M8)/510),0)</x:f>
        <x:v>15</x:v>
      </x:c>
      <x:c r="P8" s="141" t="n">
        <x:f>ROUNDDOWN(300*MIN(1,MAX(0,T8-M8)/510),0)</x:f>
        <x:v>300</x:v>
      </x:c>
      <x:c r="Q8" s="141" t="n">
        <x:f>ROUNDDOWN(200*MIN(1,MAX(0,T8-M8)/510),0)</x:f>
        <x:v>200</x:v>
      </x:c>
      <x:c r="R8" s="145" t="n">
        <x:f>N8*0.8+O8*18+P8*0.2+Q8*0.1</x:f>
        <x:v>510</x:v>
      </x:c>
      <x:c r="S8" s="146" t="n">
        <x:f>M8+R8</x:f>
        <x:v>1247.9166666666665</x:v>
      </x:c>
      <x:c r="T8" s="146" t="n">
        <x:f>G8*30%</x:f>
        <x:v>1470</x:v>
      </x:c>
      <x:c r="U8" s="148" t="n">
        <x:f>S8/G8</x:f>
        <x:v>0.2546768707482993</x:v>
      </x:c>
      <x:c r="V8" s="146" t="n">
        <x:f>T8-S8</x:f>
        <x:v>222.08333333333348</x:v>
      </x:c>
      <x:c r="W8" s="134" t="str">
        <x:f>IF(U8&lt;=30%,"合规","超预算")</x:f>
        <x:v>合规</x:v>
      </x:c>
      <x:c r="X8" s="137" t="str">
        <x:v>https://v.douyin.com/DcH2brXPgvc/</x:v>
      </x:c>
    </x:row>
    <x:row r="9" ht="26" customHeight="1">
      <x:c r="A9" s="135" t="str">
        <x:v>葵仔不想肝</x:v>
      </x:c>
      <x:c r="B9" s="139" t="n">
        <x:v>6250</x:v>
      </x:c>
      <x:c r="C9" s="139" t="n">
        <x:v>3750</x:v>
      </x:c>
      <x:c r="D9" s="131" t="str">
        <x:v>私单</x:v>
      </x:c>
      <x:c r="E9" s="139" t="n">
        <x:v>6250</x:v>
      </x:c>
      <x:c r="F9" s="140" t="n">
        <x:v>1</x:v>
      </x:c>
      <x:c r="G9" s="139" t="n">
        <x:f>E9*F9</x:f>
        <x:v>6250</x:v>
      </x:c>
      <x:c r="H9" s="143" t="n">
        <x:f>E9*80%*1000/30</x:f>
        <x:v>166666.66666666666</x:v>
      </x:c>
      <x:c r="I9" s="142" t="n">
        <x:f>E9/200*1000*1.5</x:f>
        <x:v>46875</x:v>
      </x:c>
      <x:c r="J9" s="143" t="n">
        <x:f>MAX(0,H9-I9)</x:f>
        <x:v>119791.66666666666</x:v>
      </x:c>
      <x:c r="K9" s="133" t="str">
        <x:v>普通千川</x:v>
      </x:c>
      <x:c r="L9" s="144" t="n">
        <x:v>25</x:v>
      </x:c>
      <x:c r="M9" s="144" t="n">
        <x:f>J9/10000*L9</x:f>
        <x:v>299.47916666666663</x:v>
      </x:c>
      <x:c r="N9" s="143" t="n">
        <x:f>ROUNDDOWN(200*MIN(1,MAX(0,T9-M9)/510),0)</x:f>
        <x:v>200</x:v>
      </x:c>
      <x:c r="O9" s="143" t="n">
        <x:f>ROUNDDOWN(15*MIN(1,MAX(0,T9-M9)/510),0)</x:f>
        <x:v>15</x:v>
      </x:c>
      <x:c r="P9" s="143" t="n">
        <x:f>ROUNDDOWN(300*MIN(1,MAX(0,T9-M9)/510),0)</x:f>
        <x:v>300</x:v>
      </x:c>
      <x:c r="Q9" s="143" t="n">
        <x:f>ROUNDDOWN(200*MIN(1,MAX(0,T9-M9)/510),0)</x:f>
        <x:v>200</x:v>
      </x:c>
      <x:c r="R9" s="147" t="n">
        <x:f>N9*0.8+O9*18+P9*0.2+Q9*0.1</x:f>
        <x:v>510</x:v>
      </x:c>
      <x:c r="S9" s="146" t="n">
        <x:f>M9+R9</x:f>
        <x:v>809.4791666666666</x:v>
      </x:c>
      <x:c r="T9" s="146" t="n">
        <x:f>G9*30%</x:f>
        <x:v>1875</x:v>
      </x:c>
      <x:c r="U9" s="148" t="n">
        <x:f>S9/G9</x:f>
        <x:v>0.12951666666666667</x:v>
      </x:c>
      <x:c r="V9" s="146" t="n">
        <x:f>T9-S9</x:f>
        <x:v>1065.5208333333335</x:v>
      </x:c>
      <x:c r="W9" s="134" t="str">
        <x:f>IF(U9&lt;=30%,"合规","超预算")</x:f>
        <x:v>合规</x:v>
      </x:c>
      <x:c r="X9" s="138" t="str">
        <x:v>https://v.douyin.com/38Scd6JrG_s/</x:v>
      </x:c>
    </x:row>
    <x:row r="10" ht="26" customHeight="1">
      <x:c r="A10" s="135" t="str">
        <x:v>葵仔不想肝</x:v>
      </x:c>
      <x:c r="B10" s="139" t="n">
        <x:v>6250</x:v>
      </x:c>
      <x:c r="C10" s="139" t="n">
        <x:v>3750</x:v>
      </x:c>
      <x:c r="D10" s="131" t="str">
        <x:v>平台单</x:v>
      </x:c>
      <x:c r="E10" s="139" t="n">
        <x:v>7000</x:v>
      </x:c>
      <x:c r="F10" s="140" t="n">
        <x:v>0.7</x:v>
      </x:c>
      <x:c r="G10" s="139" t="n">
        <x:f>E10*F10</x:f>
        <x:v>4900</x:v>
      </x:c>
      <x:c r="H10" s="143" t="n">
        <x:f>E10*80%*1000/30</x:f>
        <x:v>186666.66666666666</x:v>
      </x:c>
      <x:c r="I10" s="142" t="n">
        <x:f>E10/200*1000*1.5</x:f>
        <x:v>52500</x:v>
      </x:c>
      <x:c r="J10" s="143" t="n">
        <x:f>MAX(0,H10-I10)</x:f>
        <x:v>134166.66666666666</x:v>
      </x:c>
      <x:c r="K10" s="133" t="str">
        <x:v>千川无视版</x:v>
      </x:c>
      <x:c r="L10" s="144" t="n">
        <x:v>55</x:v>
      </x:c>
      <x:c r="M10" s="144" t="n">
        <x:f>J10/10000*L10</x:f>
        <x:v>737.9166666666666</x:v>
      </x:c>
      <x:c r="N10" s="143" t="n">
        <x:f>ROUNDDOWN(200*MIN(1,MAX(0,T10-M10)/510),0)</x:f>
        <x:v>200</x:v>
      </x:c>
      <x:c r="O10" s="143" t="n">
        <x:f>ROUNDDOWN(15*MIN(1,MAX(0,T10-M10)/510),0)</x:f>
        <x:v>15</x:v>
      </x:c>
      <x:c r="P10" s="143" t="n">
        <x:f>ROUNDDOWN(300*MIN(1,MAX(0,T10-M10)/510),0)</x:f>
        <x:v>300</x:v>
      </x:c>
      <x:c r="Q10" s="143" t="n">
        <x:f>ROUNDDOWN(200*MIN(1,MAX(0,T10-M10)/510),0)</x:f>
        <x:v>200</x:v>
      </x:c>
      <x:c r="R10" s="147" t="n">
        <x:f>N10*0.8+O10*18+P10*0.2+Q10*0.1</x:f>
        <x:v>510</x:v>
      </x:c>
      <x:c r="S10" s="146" t="n">
        <x:f>M10+R10</x:f>
        <x:v>1247.9166666666665</x:v>
      </x:c>
      <x:c r="T10" s="146" t="n">
        <x:f>G10*30%</x:f>
        <x:v>1470</x:v>
      </x:c>
      <x:c r="U10" s="148" t="n">
        <x:f>S10/G10</x:f>
        <x:v>0.2546768707482993</x:v>
      </x:c>
      <x:c r="V10" s="146" t="n">
        <x:f>T10-S10</x:f>
        <x:v>222.08333333333348</x:v>
      </x:c>
      <x:c r="W10" s="134" t="str">
        <x:f>IF(U10&lt;=30%,"合规","超预算")</x:f>
        <x:v>合规</x:v>
      </x:c>
      <x:c r="X10" s="138" t="str">
        <x:v>https://v.douyin.com/38Scd6JrG_s/</x:v>
      </x:c>
    </x:row>
    <x:row r="11" ht="26" customHeight="1">
      <x:c r="A11" s="130" t="str">
        <x:v>游热娃子</x:v>
      </x:c>
      <x:c r="B11" s="139" t="n">
        <x:v>8750</x:v>
      </x:c>
      <x:c r="C11" s="139" t="n">
        <x:v>5250</x:v>
      </x:c>
      <x:c r="D11" s="131" t="str">
        <x:v>私单</x:v>
      </x:c>
      <x:c r="E11" s="139" t="n">
        <x:v>8750</x:v>
      </x:c>
      <x:c r="F11" s="140" t="n">
        <x:v>1</x:v>
      </x:c>
      <x:c r="G11" s="139" t="n">
        <x:f>E11*F11</x:f>
        <x:v>8750</x:v>
      </x:c>
      <x:c r="H11" s="141" t="n">
        <x:f>E11*80%*1000/30</x:f>
        <x:v>233333.33333333334</x:v>
      </x:c>
      <x:c r="I11" s="142" t="n">
        <x:f>E11/200*1000*1.5</x:f>
        <x:v>65625</x:v>
      </x:c>
      <x:c r="J11" s="141" t="n">
        <x:f>MAX(0,H11-I11)</x:f>
        <x:v>167708.33333333334</x:v>
      </x:c>
      <x:c r="K11" s="133" t="str">
        <x:v>普通千川</x:v>
      </x:c>
      <x:c r="L11" s="144" t="n">
        <x:v>25</x:v>
      </x:c>
      <x:c r="M11" s="144" t="n">
        <x:f>J11/10000*L11</x:f>
        <x:v>419.27083333333337</x:v>
      </x:c>
      <x:c r="N11" s="141" t="n">
        <x:f>ROUNDDOWN(200*MIN(1,MAX(0,T11-M11)/510),0)</x:f>
        <x:v>200</x:v>
      </x:c>
      <x:c r="O11" s="141" t="n">
        <x:f>ROUNDDOWN(15*MIN(1,MAX(0,T11-M11)/510),0)</x:f>
        <x:v>15</x:v>
      </x:c>
      <x:c r="P11" s="141" t="n">
        <x:f>ROUNDDOWN(300*MIN(1,MAX(0,T11-M11)/510),0)</x:f>
        <x:v>300</x:v>
      </x:c>
      <x:c r="Q11" s="141" t="n">
        <x:f>ROUNDDOWN(200*MIN(1,MAX(0,T11-M11)/510),0)</x:f>
        <x:v>200</x:v>
      </x:c>
      <x:c r="R11" s="145" t="n">
        <x:f>N11*0.8+O11*18+P11*0.2+Q11*0.1</x:f>
        <x:v>510</x:v>
      </x:c>
      <x:c r="S11" s="146" t="n">
        <x:f>M11+R11</x:f>
        <x:v>929.2708333333334</x:v>
      </x:c>
      <x:c r="T11" s="146" t="n">
        <x:f>G11*30%</x:f>
        <x:v>2625</x:v>
      </x:c>
      <x:c r="U11" s="148" t="n">
        <x:f>S11/G11</x:f>
        <x:v>0.10620238095238095</x:v>
      </x:c>
      <x:c r="V11" s="146" t="n">
        <x:f>T11-S11</x:f>
        <x:v>1695.7291666666665</x:v>
      </x:c>
      <x:c r="W11" s="134" t="str">
        <x:f>IF(U11&lt;=30%,"合规","超预算")</x:f>
        <x:v>合规</x:v>
      </x:c>
      <x:c r="X11" s="137" t="str">
        <x:v>https://v.douyin.com/JmcvjVd/</x:v>
      </x:c>
    </x:row>
    <x:row r="12" ht="26" customHeight="1">
      <x:c r="A12" s="130" t="str">
        <x:v>游热娃子</x:v>
      </x:c>
      <x:c r="B12" s="139" t="n">
        <x:v>8750</x:v>
      </x:c>
      <x:c r="C12" s="139" t="n">
        <x:v>5250</x:v>
      </x:c>
      <x:c r="D12" s="131" t="str">
        <x:v>平台单</x:v>
      </x:c>
      <x:c r="E12" s="139" t="n">
        <x:v>7000</x:v>
      </x:c>
      <x:c r="F12" s="140" t="n">
        <x:v>0.7</x:v>
      </x:c>
      <x:c r="G12" s="139" t="n">
        <x:f>E12*F12</x:f>
        <x:v>4900</x:v>
      </x:c>
      <x:c r="H12" s="141" t="n">
        <x:f>E12*80%*1000/30</x:f>
        <x:v>186666.66666666666</x:v>
      </x:c>
      <x:c r="I12" s="142" t="n">
        <x:f>E12/200*1000*1.5</x:f>
        <x:v>52500</x:v>
      </x:c>
      <x:c r="J12" s="141" t="n">
        <x:f>MAX(0,H12-I12)</x:f>
        <x:v>134166.66666666666</x:v>
      </x:c>
      <x:c r="K12" s="133" t="str">
        <x:v>千川无视版</x:v>
      </x:c>
      <x:c r="L12" s="144" t="n">
        <x:v>55</x:v>
      </x:c>
      <x:c r="M12" s="144" t="n">
        <x:f>J12/10000*L12</x:f>
        <x:v>737.9166666666666</x:v>
      </x:c>
      <x:c r="N12" s="141" t="n">
        <x:f>ROUNDDOWN(200*MIN(1,MAX(0,T12-M12)/510),0)</x:f>
        <x:v>200</x:v>
      </x:c>
      <x:c r="O12" s="141" t="n">
        <x:f>ROUNDDOWN(15*MIN(1,MAX(0,T12-M12)/510),0)</x:f>
        <x:v>15</x:v>
      </x:c>
      <x:c r="P12" s="141" t="n">
        <x:f>ROUNDDOWN(300*MIN(1,MAX(0,T12-M12)/510),0)</x:f>
        <x:v>300</x:v>
      </x:c>
      <x:c r="Q12" s="141" t="n">
        <x:f>ROUNDDOWN(200*MIN(1,MAX(0,T12-M12)/510),0)</x:f>
        <x:v>200</x:v>
      </x:c>
      <x:c r="R12" s="145" t="n">
        <x:f>N12*0.8+O12*18+P12*0.2+Q12*0.1</x:f>
        <x:v>510</x:v>
      </x:c>
      <x:c r="S12" s="146" t="n">
        <x:f>M12+R12</x:f>
        <x:v>1247.9166666666665</x:v>
      </x:c>
      <x:c r="T12" s="146" t="n">
        <x:f>G12*30%</x:f>
        <x:v>1470</x:v>
      </x:c>
      <x:c r="U12" s="148" t="n">
        <x:f>S12/G12</x:f>
        <x:v>0.2546768707482993</x:v>
      </x:c>
      <x:c r="V12" s="146" t="n">
        <x:f>T12-S12</x:f>
        <x:v>222.08333333333348</x:v>
      </x:c>
      <x:c r="W12" s="134" t="str">
        <x:f>IF(U12&lt;=30%,"合规","超预算")</x:f>
        <x:v>合规</x:v>
      </x:c>
      <x:c r="X12" s="137" t="str">
        <x:v>https://v.douyin.com/JmcvjVd/</x:v>
      </x:c>
    </x:row>
    <x:row r="13" ht="26" customHeight="1">
      <x:c r="A13" s="135" t="str">
        <x:v>游小妹</x:v>
      </x:c>
      <x:c r="B13" s="139" t="n">
        <x:v>6000</x:v>
      </x:c>
      <x:c r="C13" s="139" t="n">
        <x:v>3600</x:v>
      </x:c>
      <x:c r="D13" s="131" t="str">
        <x:v>私单</x:v>
      </x:c>
      <x:c r="E13" s="139" t="n">
        <x:v>6000</x:v>
      </x:c>
      <x:c r="F13" s="140" t="n">
        <x:v>1</x:v>
      </x:c>
      <x:c r="G13" s="139" t="n">
        <x:f>E13*F13</x:f>
        <x:v>6000</x:v>
      </x:c>
      <x:c r="H13" s="143" t="n">
        <x:f>E13*80%*1000/30</x:f>
        <x:v>160000</x:v>
      </x:c>
      <x:c r="I13" s="142" t="n">
        <x:f>E13/200*1000*1.5</x:f>
        <x:v>45000</x:v>
      </x:c>
      <x:c r="J13" s="143" t="n">
        <x:f>MAX(0,H13-I13)</x:f>
        <x:v>115000</x:v>
      </x:c>
      <x:c r="K13" s="133" t="str">
        <x:v>普通千川</x:v>
      </x:c>
      <x:c r="L13" s="144" t="n">
        <x:v>25</x:v>
      </x:c>
      <x:c r="M13" s="144" t="n">
        <x:f>J13/10000*L13</x:f>
        <x:v>287.5</x:v>
      </x:c>
      <x:c r="N13" s="143" t="n">
        <x:f>ROUNDDOWN(200*MIN(1,MAX(0,T13-M13)/510),0)</x:f>
        <x:v>200</x:v>
      </x:c>
      <x:c r="O13" s="143" t="n">
        <x:f>ROUNDDOWN(15*MIN(1,MAX(0,T13-M13)/510),0)</x:f>
        <x:v>15</x:v>
      </x:c>
      <x:c r="P13" s="143" t="n">
        <x:f>ROUNDDOWN(300*MIN(1,MAX(0,T13-M13)/510),0)</x:f>
        <x:v>300</x:v>
      </x:c>
      <x:c r="Q13" s="143" t="n">
        <x:f>ROUNDDOWN(200*MIN(1,MAX(0,T13-M13)/510),0)</x:f>
        <x:v>200</x:v>
      </x:c>
      <x:c r="R13" s="147" t="n">
        <x:f>N13*0.8+O13*18+P13*0.2+Q13*0.1</x:f>
        <x:v>510</x:v>
      </x:c>
      <x:c r="S13" s="146" t="n">
        <x:f>M13+R13</x:f>
        <x:v>797.5</x:v>
      </x:c>
      <x:c r="T13" s="146" t="n">
        <x:f>G13*30%</x:f>
        <x:v>1800</x:v>
      </x:c>
      <x:c r="U13" s="148" t="n">
        <x:f>S13/G13</x:f>
        <x:v>0.13291666666666666</x:v>
      </x:c>
      <x:c r="V13" s="146" t="n">
        <x:f>T13-S13</x:f>
        <x:v>1002.5</x:v>
      </x:c>
      <x:c r="W13" s="134" t="str">
        <x:f>IF(U13&lt;=30%,"合规","超预算")</x:f>
        <x:v>合规</x:v>
      </x:c>
      <x:c r="X13" s="138" t="str">
        <x:v>https://v.douyin.com/JmcXQpY/</x:v>
      </x:c>
    </x:row>
    <x:row r="14" ht="26" customHeight="1">
      <x:c r="A14" s="135" t="str">
        <x:v>游小妹</x:v>
      </x:c>
      <x:c r="B14" s="139" t="n">
        <x:v>6000</x:v>
      </x:c>
      <x:c r="C14" s="139" t="n">
        <x:v>3600</x:v>
      </x:c>
      <x:c r="D14" s="131" t="str">
        <x:v>平台单</x:v>
      </x:c>
      <x:c r="E14" s="139" t="n">
        <x:v>7000</x:v>
      </x:c>
      <x:c r="F14" s="140" t="n">
        <x:v>0.7</x:v>
      </x:c>
      <x:c r="G14" s="139" t="n">
        <x:f>E14*F14</x:f>
        <x:v>4900</x:v>
      </x:c>
      <x:c r="H14" s="143" t="n">
        <x:f>E14*80%*1000/30</x:f>
        <x:v>186666.66666666666</x:v>
      </x:c>
      <x:c r="I14" s="142" t="n">
        <x:f>E14/200*1000*1.5</x:f>
        <x:v>52500</x:v>
      </x:c>
      <x:c r="J14" s="143" t="n">
        <x:f>MAX(0,H14-I14)</x:f>
        <x:v>134166.66666666666</x:v>
      </x:c>
      <x:c r="K14" s="133" t="str">
        <x:v>千川无视版</x:v>
      </x:c>
      <x:c r="L14" s="144" t="n">
        <x:v>55</x:v>
      </x:c>
      <x:c r="M14" s="144" t="n">
        <x:f>J14/10000*L14</x:f>
        <x:v>737.9166666666666</x:v>
      </x:c>
      <x:c r="N14" s="143" t="n">
        <x:f>ROUNDDOWN(200*MIN(1,MAX(0,T14-M14)/510),0)</x:f>
        <x:v>200</x:v>
      </x:c>
      <x:c r="O14" s="143" t="n">
        <x:f>ROUNDDOWN(15*MIN(1,MAX(0,T14-M14)/510),0)</x:f>
        <x:v>15</x:v>
      </x:c>
      <x:c r="P14" s="143" t="n">
        <x:f>ROUNDDOWN(300*MIN(1,MAX(0,T14-M14)/510),0)</x:f>
        <x:v>300</x:v>
      </x:c>
      <x:c r="Q14" s="143" t="n">
        <x:f>ROUNDDOWN(200*MIN(1,MAX(0,T14-M14)/510),0)</x:f>
        <x:v>200</x:v>
      </x:c>
      <x:c r="R14" s="147" t="n">
        <x:f>N14*0.8+O14*18+P14*0.2+Q14*0.1</x:f>
        <x:v>510</x:v>
      </x:c>
      <x:c r="S14" s="146" t="n">
        <x:f>M14+R14</x:f>
        <x:v>1247.9166666666665</x:v>
      </x:c>
      <x:c r="T14" s="146" t="n">
        <x:f>G14*30%</x:f>
        <x:v>1470</x:v>
      </x:c>
      <x:c r="U14" s="148" t="n">
        <x:f>S14/G14</x:f>
        <x:v>0.2546768707482993</x:v>
      </x:c>
      <x:c r="V14" s="146" t="n">
        <x:f>T14-S14</x:f>
        <x:v>222.08333333333348</x:v>
      </x:c>
      <x:c r="W14" s="134" t="str">
        <x:f>IF(U14&lt;=30%,"合规","超预算")</x:f>
        <x:v>合规</x:v>
      </x:c>
      <x:c r="X14" s="138" t="str">
        <x:v>https://v.douyin.com/JmcXQpY/</x:v>
      </x:c>
    </x:row>
    <x:row r="15" ht="26" customHeight="1">
      <x:c r="A15" s="130" t="str">
        <x:v>灵梦小师妹</x:v>
      </x:c>
      <x:c r="B15" s="139" t="n">
        <x:v>6000</x:v>
      </x:c>
      <x:c r="C15" s="139" t="n">
        <x:v>3600</x:v>
      </x:c>
      <x:c r="D15" s="131" t="str">
        <x:v>私单</x:v>
      </x:c>
      <x:c r="E15" s="139" t="n">
        <x:v>6000</x:v>
      </x:c>
      <x:c r="F15" s="140" t="n">
        <x:v>1</x:v>
      </x:c>
      <x:c r="G15" s="139" t="n">
        <x:f>E15*F15</x:f>
        <x:v>6000</x:v>
      </x:c>
      <x:c r="H15" s="141" t="n">
        <x:f>E15*80%*1000/30</x:f>
        <x:v>160000</x:v>
      </x:c>
      <x:c r="I15" s="142" t="n">
        <x:f>E15/200*1000*1.5</x:f>
        <x:v>45000</x:v>
      </x:c>
      <x:c r="J15" s="141" t="n">
        <x:f>MAX(0,H15-I15)</x:f>
        <x:v>115000</x:v>
      </x:c>
      <x:c r="K15" s="133" t="str">
        <x:v>普通千川</x:v>
      </x:c>
      <x:c r="L15" s="144" t="n">
        <x:v>25</x:v>
      </x:c>
      <x:c r="M15" s="144" t="n">
        <x:f>J15/10000*L15</x:f>
        <x:v>287.5</x:v>
      </x:c>
      <x:c r="N15" s="141" t="n">
        <x:f>ROUNDDOWN(200*MIN(1,MAX(0,T15-M15)/510),0)</x:f>
        <x:v>200</x:v>
      </x:c>
      <x:c r="O15" s="141" t="n">
        <x:f>ROUNDDOWN(15*MIN(1,MAX(0,T15-M15)/510),0)</x:f>
        <x:v>15</x:v>
      </x:c>
      <x:c r="P15" s="141" t="n">
        <x:f>ROUNDDOWN(300*MIN(1,MAX(0,T15-M15)/510),0)</x:f>
        <x:v>300</x:v>
      </x:c>
      <x:c r="Q15" s="141" t="n">
        <x:f>ROUNDDOWN(200*MIN(1,MAX(0,T15-M15)/510),0)</x:f>
        <x:v>200</x:v>
      </x:c>
      <x:c r="R15" s="145" t="n">
        <x:f>N15*0.8+O15*18+P15*0.2+Q15*0.1</x:f>
        <x:v>510</x:v>
      </x:c>
      <x:c r="S15" s="146" t="n">
        <x:f>M15+R15</x:f>
        <x:v>797.5</x:v>
      </x:c>
      <x:c r="T15" s="146" t="n">
        <x:f>G15*30%</x:f>
        <x:v>1800</x:v>
      </x:c>
      <x:c r="U15" s="148" t="n">
        <x:f>S15/G15</x:f>
        <x:v>0.13291666666666666</x:v>
      </x:c>
      <x:c r="V15" s="146" t="n">
        <x:f>T15-S15</x:f>
        <x:v>1002.5</x:v>
      </x:c>
      <x:c r="W15" s="134" t="str">
        <x:f>IF(U15&lt;=30%,"合规","超预算")</x:f>
        <x:v>合规</x:v>
      </x:c>
      <x:c r="X15" s="137" t="str">
        <x:v>https://www.douyin.com/user/MS4wLjABAAAAJfqON1LDmWBPlUXvQ-iwZ6AZLbLuIj72uGiFUuot89k</x:v>
      </x:c>
    </x:row>
    <x:row r="16" ht="26" customHeight="1">
      <x:c r="A16" s="130" t="str">
        <x:v>灵梦小师妹</x:v>
      </x:c>
      <x:c r="B16" s="139" t="n">
        <x:v>6000</x:v>
      </x:c>
      <x:c r="C16" s="139" t="n">
        <x:v>3600</x:v>
      </x:c>
      <x:c r="D16" s="131" t="str">
        <x:v>平台单</x:v>
      </x:c>
      <x:c r="E16" s="139" t="n">
        <x:v>7000</x:v>
      </x:c>
      <x:c r="F16" s="140" t="n">
        <x:v>0.7</x:v>
      </x:c>
      <x:c r="G16" s="139" t="n">
        <x:f>E16*F16</x:f>
        <x:v>4900</x:v>
      </x:c>
      <x:c r="H16" s="141" t="n">
        <x:f>E16*80%*1000/30</x:f>
        <x:v>186666.66666666666</x:v>
      </x:c>
      <x:c r="I16" s="142" t="n">
        <x:f>E16/200*1000*1.5</x:f>
        <x:v>52500</x:v>
      </x:c>
      <x:c r="J16" s="141" t="n">
        <x:f>MAX(0,H16-I16)</x:f>
        <x:v>134166.66666666666</x:v>
      </x:c>
      <x:c r="K16" s="133" t="str">
        <x:v>千川无视版</x:v>
      </x:c>
      <x:c r="L16" s="144" t="n">
        <x:v>55</x:v>
      </x:c>
      <x:c r="M16" s="144" t="n">
        <x:f>J16/10000*L16</x:f>
        <x:v>737.9166666666666</x:v>
      </x:c>
      <x:c r="N16" s="141" t="n">
        <x:f>ROUNDDOWN(200*MIN(1,MAX(0,T16-M16)/510),0)</x:f>
        <x:v>200</x:v>
      </x:c>
      <x:c r="O16" s="141" t="n">
        <x:f>ROUNDDOWN(15*MIN(1,MAX(0,T16-M16)/510),0)</x:f>
        <x:v>15</x:v>
      </x:c>
      <x:c r="P16" s="141" t="n">
        <x:f>ROUNDDOWN(300*MIN(1,MAX(0,T16-M16)/510),0)</x:f>
        <x:v>300</x:v>
      </x:c>
      <x:c r="Q16" s="141" t="n">
        <x:f>ROUNDDOWN(200*MIN(1,MAX(0,T16-M16)/510),0)</x:f>
        <x:v>200</x:v>
      </x:c>
      <x:c r="R16" s="145" t="n">
        <x:f>N16*0.8+O16*18+P16*0.2+Q16*0.1</x:f>
        <x:v>510</x:v>
      </x:c>
      <x:c r="S16" s="146" t="n">
        <x:f>M16+R16</x:f>
        <x:v>1247.9166666666665</x:v>
      </x:c>
      <x:c r="T16" s="146" t="n">
        <x:f>G16*30%</x:f>
        <x:v>1470</x:v>
      </x:c>
      <x:c r="U16" s="148" t="n">
        <x:f>S16/G16</x:f>
        <x:v>0.2546768707482993</x:v>
      </x:c>
      <x:c r="V16" s="146" t="n">
        <x:f>T16-S16</x:f>
        <x:v>222.08333333333348</x:v>
      </x:c>
      <x:c r="W16" s="134" t="str">
        <x:f>IF(U16&lt;=30%,"合规","超预算")</x:f>
        <x:v>合规</x:v>
      </x:c>
      <x:c r="X16" s="137" t="str">
        <x:v>https://www.douyin.com/user/MS4wLjABAAAAJfqON1LDmWBPlUXvQ-iwZ6AZLbLuIj72uGiFUuot89k</x:v>
      </x:c>
    </x:row>
    <x:row r="17" ht="26" customHeight="1">
      <x:c r="A17" s="135" t="str">
        <x:v>超玩教授</x:v>
      </x:c>
      <x:c r="B17" s="139" t="n">
        <x:v>6000</x:v>
      </x:c>
      <x:c r="C17" s="139" t="n">
        <x:v>3600</x:v>
      </x:c>
      <x:c r="D17" s="131" t="str">
        <x:v>私单</x:v>
      </x:c>
      <x:c r="E17" s="139" t="n">
        <x:v>6000</x:v>
      </x:c>
      <x:c r="F17" s="140" t="n">
        <x:v>1</x:v>
      </x:c>
      <x:c r="G17" s="139" t="n">
        <x:f>E17*F17</x:f>
        <x:v>6000</x:v>
      </x:c>
      <x:c r="H17" s="143" t="n">
        <x:f>E17*80%*1000/30</x:f>
        <x:v>160000</x:v>
      </x:c>
      <x:c r="I17" s="142" t="n">
        <x:f>E17/200*1000*1.5</x:f>
        <x:v>45000</x:v>
      </x:c>
      <x:c r="J17" s="143" t="n">
        <x:f>MAX(0,H17-I17)</x:f>
        <x:v>115000</x:v>
      </x:c>
      <x:c r="K17" s="133" t="str">
        <x:v>普通千川</x:v>
      </x:c>
      <x:c r="L17" s="144" t="n">
        <x:v>25</x:v>
      </x:c>
      <x:c r="M17" s="144" t="n">
        <x:f>J17/10000*L17</x:f>
        <x:v>287.5</x:v>
      </x:c>
      <x:c r="N17" s="143" t="n">
        <x:f>ROUNDDOWN(200*MIN(1,MAX(0,T17-M17)/510),0)</x:f>
        <x:v>200</x:v>
      </x:c>
      <x:c r="O17" s="143" t="n">
        <x:f>ROUNDDOWN(15*MIN(1,MAX(0,T17-M17)/510),0)</x:f>
        <x:v>15</x:v>
      </x:c>
      <x:c r="P17" s="143" t="n">
        <x:f>ROUNDDOWN(300*MIN(1,MAX(0,T17-M17)/510),0)</x:f>
        <x:v>300</x:v>
      </x:c>
      <x:c r="Q17" s="143" t="n">
        <x:f>ROUNDDOWN(200*MIN(1,MAX(0,T17-M17)/510),0)</x:f>
        <x:v>200</x:v>
      </x:c>
      <x:c r="R17" s="147" t="n">
        <x:f>N17*0.8+O17*18+P17*0.2+Q17*0.1</x:f>
        <x:v>510</x:v>
      </x:c>
      <x:c r="S17" s="146" t="n">
        <x:f>M17+R17</x:f>
        <x:v>797.5</x:v>
      </x:c>
      <x:c r="T17" s="146" t="n">
        <x:f>G17*30%</x:f>
        <x:v>1800</x:v>
      </x:c>
      <x:c r="U17" s="148" t="n">
        <x:f>S17/G17</x:f>
        <x:v>0.13291666666666666</x:v>
      </x:c>
      <x:c r="V17" s="146" t="n">
        <x:f>T17-S17</x:f>
        <x:v>1002.5</x:v>
      </x:c>
      <x:c r="W17" s="134" t="str">
        <x:f>IF(U17&lt;=30%,"合规","超预算")</x:f>
        <x:v>合规</x:v>
      </x:c>
      <x:c r="X17" s="138" t="str">
        <x:v>https://v.douyin.com/JJ3p572/</x:v>
      </x:c>
    </x:row>
    <x:row r="18" ht="26" customHeight="1">
      <x:c r="A18" s="135" t="str">
        <x:v>超玩教授</x:v>
      </x:c>
      <x:c r="B18" s="139" t="n">
        <x:v>6000</x:v>
      </x:c>
      <x:c r="C18" s="139" t="n">
        <x:v>3600</x:v>
      </x:c>
      <x:c r="D18" s="131" t="str">
        <x:v>平台单</x:v>
      </x:c>
      <x:c r="E18" s="139" t="n">
        <x:v>7000</x:v>
      </x:c>
      <x:c r="F18" s="140" t="n">
        <x:v>0.7</x:v>
      </x:c>
      <x:c r="G18" s="139" t="n">
        <x:f>E18*F18</x:f>
        <x:v>4900</x:v>
      </x:c>
      <x:c r="H18" s="143" t="n">
        <x:f>E18*80%*1000/30</x:f>
        <x:v>186666.66666666666</x:v>
      </x:c>
      <x:c r="I18" s="142" t="n">
        <x:f>E18/200*1000*1.5</x:f>
        <x:v>52500</x:v>
      </x:c>
      <x:c r="J18" s="143" t="n">
        <x:f>MAX(0,H18-I18)</x:f>
        <x:v>134166.66666666666</x:v>
      </x:c>
      <x:c r="K18" s="133" t="str">
        <x:v>千川无视版</x:v>
      </x:c>
      <x:c r="L18" s="144" t="n">
        <x:v>55</x:v>
      </x:c>
      <x:c r="M18" s="144" t="n">
        <x:f>J18/10000*L18</x:f>
        <x:v>737.9166666666666</x:v>
      </x:c>
      <x:c r="N18" s="143" t="n">
        <x:f>ROUNDDOWN(200*MIN(1,MAX(0,T18-M18)/510),0)</x:f>
        <x:v>200</x:v>
      </x:c>
      <x:c r="O18" s="143" t="n">
        <x:f>ROUNDDOWN(15*MIN(1,MAX(0,T18-M18)/510),0)</x:f>
        <x:v>15</x:v>
      </x:c>
      <x:c r="P18" s="143" t="n">
        <x:f>ROUNDDOWN(300*MIN(1,MAX(0,T18-M18)/510),0)</x:f>
        <x:v>300</x:v>
      </x:c>
      <x:c r="Q18" s="143" t="n">
        <x:f>ROUNDDOWN(200*MIN(1,MAX(0,T18-M18)/510),0)</x:f>
        <x:v>200</x:v>
      </x:c>
      <x:c r="R18" s="147" t="n">
        <x:f>N18*0.8+O18*18+P18*0.2+Q18*0.1</x:f>
        <x:v>510</x:v>
      </x:c>
      <x:c r="S18" s="146" t="n">
        <x:f>M18+R18</x:f>
        <x:v>1247.9166666666665</x:v>
      </x:c>
      <x:c r="T18" s="146" t="n">
        <x:f>G18*30%</x:f>
        <x:v>1470</x:v>
      </x:c>
      <x:c r="U18" s="148" t="n">
        <x:f>S18/G18</x:f>
        <x:v>0.2546768707482993</x:v>
      </x:c>
      <x:c r="V18" s="146" t="n">
        <x:f>T18-S18</x:f>
        <x:v>222.08333333333348</x:v>
      </x:c>
      <x:c r="W18" s="134" t="str">
        <x:f>IF(U18&lt;=30%,"合规","超预算")</x:f>
        <x:v>合规</x:v>
      </x:c>
      <x:c r="X18" s="138" t="str">
        <x:v>https://v.douyin.com/JJ3p572/</x:v>
      </x:c>
    </x:row>
    <x:row r="19" ht="26" customHeight="1">
      <x:c r="A19" s="130" t="str">
        <x:v>lee小强</x:v>
      </x:c>
      <x:c r="B19" s="139" t="n">
        <x:v>4800</x:v>
      </x:c>
      <x:c r="C19" s="139" t="n">
        <x:v>2880</x:v>
      </x:c>
      <x:c r="D19" s="131" t="str">
        <x:v>私单</x:v>
      </x:c>
      <x:c r="E19" s="139" t="n">
        <x:v>4800</x:v>
      </x:c>
      <x:c r="F19" s="140" t="n">
        <x:v>1</x:v>
      </x:c>
      <x:c r="G19" s="139" t="n">
        <x:f>E19*F19</x:f>
        <x:v>4800</x:v>
      </x:c>
      <x:c r="H19" s="141" t="n">
        <x:f>E19*80%*1000/30</x:f>
        <x:v>128000</x:v>
      </x:c>
      <x:c r="I19" s="142" t="n">
        <x:f>E19/200*1000*1.5</x:f>
        <x:v>36000</x:v>
      </x:c>
      <x:c r="J19" s="141" t="n">
        <x:f>MAX(0,H19-I19)</x:f>
        <x:v>92000</x:v>
      </x:c>
      <x:c r="K19" s="133" t="str">
        <x:v>普通千川</x:v>
      </x:c>
      <x:c r="L19" s="144" t="n">
        <x:v>25</x:v>
      </x:c>
      <x:c r="M19" s="144" t="n">
        <x:f>J19/10000*L19</x:f>
        <x:v>229.99999999999997</x:v>
      </x:c>
      <x:c r="N19" s="141" t="n">
        <x:f>ROUNDDOWN(200*MIN(1,MAX(0,T19-M19)/510),0)</x:f>
        <x:v>200</x:v>
      </x:c>
      <x:c r="O19" s="141" t="n">
        <x:f>ROUNDDOWN(15*MIN(1,MAX(0,T19-M19)/510),0)</x:f>
        <x:v>15</x:v>
      </x:c>
      <x:c r="P19" s="141" t="n">
        <x:f>ROUNDDOWN(300*MIN(1,MAX(0,T19-M19)/510),0)</x:f>
        <x:v>300</x:v>
      </x:c>
      <x:c r="Q19" s="141" t="n">
        <x:f>ROUNDDOWN(200*MIN(1,MAX(0,T19-M19)/510),0)</x:f>
        <x:v>200</x:v>
      </x:c>
      <x:c r="R19" s="145" t="n">
        <x:f>N19*0.8+O19*18+P19*0.2+Q19*0.1</x:f>
        <x:v>510</x:v>
      </x:c>
      <x:c r="S19" s="146" t="n">
        <x:f>M19+R19</x:f>
        <x:v>740</x:v>
      </x:c>
      <x:c r="T19" s="146" t="n">
        <x:f>G19*30%</x:f>
        <x:v>1440</x:v>
      </x:c>
      <x:c r="U19" s="148" t="n">
        <x:f>S19/G19</x:f>
        <x:v>0.15416666666666667</x:v>
      </x:c>
      <x:c r="V19" s="146" t="n">
        <x:f>T19-S19</x:f>
        <x:v>700</x:v>
      </x:c>
      <x:c r="W19" s="134" t="str">
        <x:f>IF(U19&lt;=30%,"合规","超预算")</x:f>
        <x:v>合规</x:v>
      </x:c>
      <x:c r="X19" s="137" t="str">
        <x:v>https://v.douyin.com/ihb6eF8j/</x:v>
      </x:c>
    </x:row>
    <x:row r="20" ht="26" customHeight="1">
      <x:c r="A20" s="130" t="str">
        <x:v>lee小强</x:v>
      </x:c>
      <x:c r="B20" s="139" t="n">
        <x:v>4800</x:v>
      </x:c>
      <x:c r="C20" s="139" t="n">
        <x:v>2880</x:v>
      </x:c>
      <x:c r="D20" s="131" t="str">
        <x:v>平台单</x:v>
      </x:c>
      <x:c r="E20" s="139" t="n">
        <x:v>7000</x:v>
      </x:c>
      <x:c r="F20" s="140" t="n">
        <x:v>0.7</x:v>
      </x:c>
      <x:c r="G20" s="139" t="n">
        <x:f>E20*F20</x:f>
        <x:v>4900</x:v>
      </x:c>
      <x:c r="H20" s="141" t="n">
        <x:f>E20*80%*1000/30</x:f>
        <x:v>186666.66666666666</x:v>
      </x:c>
      <x:c r="I20" s="142" t="n">
        <x:f>E20/200*1000*1.5</x:f>
        <x:v>52500</x:v>
      </x:c>
      <x:c r="J20" s="141" t="n">
        <x:f>MAX(0,H20-I20)</x:f>
        <x:v>134166.66666666666</x:v>
      </x:c>
      <x:c r="K20" s="133" t="str">
        <x:v>千川无视版</x:v>
      </x:c>
      <x:c r="L20" s="144" t="n">
        <x:v>55</x:v>
      </x:c>
      <x:c r="M20" s="144" t="n">
        <x:f>J20/10000*L20</x:f>
        <x:v>737.9166666666666</x:v>
      </x:c>
      <x:c r="N20" s="141" t="n">
        <x:f>ROUNDDOWN(200*MIN(1,MAX(0,T20-M20)/510),0)</x:f>
        <x:v>200</x:v>
      </x:c>
      <x:c r="O20" s="141" t="n">
        <x:f>ROUNDDOWN(15*MIN(1,MAX(0,T20-M20)/510),0)</x:f>
        <x:v>15</x:v>
      </x:c>
      <x:c r="P20" s="141" t="n">
        <x:f>ROUNDDOWN(300*MIN(1,MAX(0,T20-M20)/510),0)</x:f>
        <x:v>300</x:v>
      </x:c>
      <x:c r="Q20" s="141" t="n">
        <x:f>ROUNDDOWN(200*MIN(1,MAX(0,T20-M20)/510),0)</x:f>
        <x:v>200</x:v>
      </x:c>
      <x:c r="R20" s="145" t="n">
        <x:f>N20*0.8+O20*18+P20*0.2+Q20*0.1</x:f>
        <x:v>510</x:v>
      </x:c>
      <x:c r="S20" s="146" t="n">
        <x:f>M20+R20</x:f>
        <x:v>1247.9166666666665</x:v>
      </x:c>
      <x:c r="T20" s="146" t="n">
        <x:f>G20*30%</x:f>
        <x:v>1470</x:v>
      </x:c>
      <x:c r="U20" s="148" t="n">
        <x:f>S20/G20</x:f>
        <x:v>0.2546768707482993</x:v>
      </x:c>
      <x:c r="V20" s="146" t="n">
        <x:f>T20-S20</x:f>
        <x:v>222.08333333333348</x:v>
      </x:c>
      <x:c r="W20" s="134" t="str">
        <x:f>IF(U20&lt;=30%,"合规","超预算")</x:f>
        <x:v>合规</x:v>
      </x:c>
      <x:c r="X20" s="137" t="str">
        <x:v>https://v.douyin.com/ihb6eF8j/</x:v>
      </x:c>
    </x:row>
    <x:row r="21" ht="26" customHeight="1">
      <x:c r="A21" s="135" t="str">
        <x:v>不玩就分手</x:v>
      </x:c>
      <x:c r="B21" s="139" t="n">
        <x:v>3500</x:v>
      </x:c>
      <x:c r="C21" s="139" t="n">
        <x:v>2100</x:v>
      </x:c>
      <x:c r="D21" s="131" t="str">
        <x:v>私单</x:v>
      </x:c>
      <x:c r="E21" s="139" t="n">
        <x:v>3500</x:v>
      </x:c>
      <x:c r="F21" s="140" t="n">
        <x:v>1</x:v>
      </x:c>
      <x:c r="G21" s="139" t="n">
        <x:f>E21*F21</x:f>
        <x:v>3500</x:v>
      </x:c>
      <x:c r="H21" s="143" t="n">
        <x:f>E21*80%*1000/30</x:f>
        <x:v>93333.33333333333</x:v>
      </x:c>
      <x:c r="I21" s="142" t="n">
        <x:f>E21/200*1000*1.5</x:f>
        <x:v>26250</x:v>
      </x:c>
      <x:c r="J21" s="143" t="n">
        <x:f>MAX(0,H21-I21)</x:f>
        <x:v>67083.33333333333</x:v>
      </x:c>
      <x:c r="K21" s="133" t="str">
        <x:v>普通千川</x:v>
      </x:c>
      <x:c r="L21" s="144" t="n">
        <x:v>25</x:v>
      </x:c>
      <x:c r="M21" s="144" t="n">
        <x:f>J21/10000*L21</x:f>
        <x:v>167.70833333333331</x:v>
      </x:c>
      <x:c r="N21" s="143" t="n">
        <x:f>ROUNDDOWN(200*MIN(1,MAX(0,T21-M21)/510),0)</x:f>
        <x:v>200</x:v>
      </x:c>
      <x:c r="O21" s="143" t="n">
        <x:f>ROUNDDOWN(15*MIN(1,MAX(0,T21-M21)/510),0)</x:f>
        <x:v>15</x:v>
      </x:c>
      <x:c r="P21" s="143" t="n">
        <x:f>ROUNDDOWN(300*MIN(1,MAX(0,T21-M21)/510),0)</x:f>
        <x:v>300</x:v>
      </x:c>
      <x:c r="Q21" s="143" t="n">
        <x:f>ROUNDDOWN(200*MIN(1,MAX(0,T21-M21)/510),0)</x:f>
        <x:v>200</x:v>
      </x:c>
      <x:c r="R21" s="147" t="n">
        <x:f>N21*0.8+O21*18+P21*0.2+Q21*0.1</x:f>
        <x:v>510</x:v>
      </x:c>
      <x:c r="S21" s="146" t="n">
        <x:f>M21+R21</x:f>
        <x:v>677.7083333333333</x:v>
      </x:c>
      <x:c r="T21" s="146" t="n">
        <x:f>G21*30%</x:f>
        <x:v>1050</x:v>
      </x:c>
      <x:c r="U21" s="148" t="n">
        <x:f>S21/G21</x:f>
        <x:v>0.19363095238095235</x:v>
      </x:c>
      <x:c r="V21" s="146" t="n">
        <x:f>T21-S21</x:f>
        <x:v>372.29166666666674</x:v>
      </x:c>
      <x:c r="W21" s="134" t="str">
        <x:f>IF(U21&lt;=30%,"合规","超预算")</x:f>
        <x:v>合规</x:v>
      </x:c>
      <x:c r="X21" s="138" t="str">
        <x:v>https://v.douyin.com/jTKED_9fV4A/</x:v>
      </x:c>
    </x:row>
    <x:row r="22" ht="26" customHeight="1">
      <x:c r="A22" s="135" t="str">
        <x:v>不玩就分手</x:v>
      </x:c>
      <x:c r="B22" s="139" t="n">
        <x:v>3500</x:v>
      </x:c>
      <x:c r="C22" s="139" t="n">
        <x:v>2100</x:v>
      </x:c>
      <x:c r="D22" s="131" t="str">
        <x:v>平台单</x:v>
      </x:c>
      <x:c r="E22" s="139" t="n">
        <x:v>7000</x:v>
      </x:c>
      <x:c r="F22" s="140" t="n">
        <x:v>0.7</x:v>
      </x:c>
      <x:c r="G22" s="139" t="n">
        <x:f>E22*F22</x:f>
        <x:v>4900</x:v>
      </x:c>
      <x:c r="H22" s="143" t="n">
        <x:f>E22*80%*1000/30</x:f>
        <x:v>186666.66666666666</x:v>
      </x:c>
      <x:c r="I22" s="142" t="n">
        <x:f>E22/200*1000*1.5</x:f>
        <x:v>52500</x:v>
      </x:c>
      <x:c r="J22" s="143" t="n">
        <x:f>MAX(0,H22-I22)</x:f>
        <x:v>134166.66666666666</x:v>
      </x:c>
      <x:c r="K22" s="133" t="str">
        <x:v>千川无视版</x:v>
      </x:c>
      <x:c r="L22" s="144" t="n">
        <x:v>55</x:v>
      </x:c>
      <x:c r="M22" s="144" t="n">
        <x:f>J22/10000*L22</x:f>
        <x:v>737.9166666666666</x:v>
      </x:c>
      <x:c r="N22" s="143" t="n">
        <x:f>ROUNDDOWN(200*MIN(1,MAX(0,T22-M22)/510),0)</x:f>
        <x:v>200</x:v>
      </x:c>
      <x:c r="O22" s="143" t="n">
        <x:f>ROUNDDOWN(15*MIN(1,MAX(0,T22-M22)/510),0)</x:f>
        <x:v>15</x:v>
      </x:c>
      <x:c r="P22" s="143" t="n">
        <x:f>ROUNDDOWN(300*MIN(1,MAX(0,T22-M22)/510),0)</x:f>
        <x:v>300</x:v>
      </x:c>
      <x:c r="Q22" s="143" t="n">
        <x:f>ROUNDDOWN(200*MIN(1,MAX(0,T22-M22)/510),0)</x:f>
        <x:v>200</x:v>
      </x:c>
      <x:c r="R22" s="147" t="n">
        <x:f>N22*0.8+O22*18+P22*0.2+Q22*0.1</x:f>
        <x:v>510</x:v>
      </x:c>
      <x:c r="S22" s="146" t="n">
        <x:f>M22+R22</x:f>
        <x:v>1247.9166666666665</x:v>
      </x:c>
      <x:c r="T22" s="146" t="n">
        <x:f>G22*30%</x:f>
        <x:v>1470</x:v>
      </x:c>
      <x:c r="U22" s="148" t="n">
        <x:f>S22/G22</x:f>
        <x:v>0.2546768707482993</x:v>
      </x:c>
      <x:c r="V22" s="146" t="n">
        <x:f>T22-S22</x:f>
        <x:v>222.08333333333348</x:v>
      </x:c>
      <x:c r="W22" s="134" t="str">
        <x:f>IF(U22&lt;=30%,"合规","超预算")</x:f>
        <x:v>合规</x:v>
      </x:c>
      <x:c r="X22" s="138" t="str">
        <x:v>https://v.douyin.com/jTKED_9fV4A/</x:v>
      </x:c>
    </x:row>
    <x:row r="23" ht="26" customHeight="1">
      <x:c r="A23" s="130" t="str">
        <x:v>游梗要说</x:v>
      </x:c>
      <x:c r="B23" s="139" t="n">
        <x:v>7800</x:v>
      </x:c>
      <x:c r="C23" s="139" t="n">
        <x:v>4680</x:v>
      </x:c>
      <x:c r="D23" s="131" t="str">
        <x:v>私单</x:v>
      </x:c>
      <x:c r="E23" s="139" t="n">
        <x:v>7800</x:v>
      </x:c>
      <x:c r="F23" s="140" t="n">
        <x:v>1</x:v>
      </x:c>
      <x:c r="G23" s="139" t="n">
        <x:f>E23*F23</x:f>
        <x:v>7800</x:v>
      </x:c>
      <x:c r="H23" s="141" t="n">
        <x:f>E23*80%*1000/30</x:f>
        <x:v>208000</x:v>
      </x:c>
      <x:c r="I23" s="142" t="n">
        <x:f>E23/200*1000*1.5</x:f>
        <x:v>58500</x:v>
      </x:c>
      <x:c r="J23" s="141" t="n">
        <x:f>MAX(0,H23-I23)</x:f>
        <x:v>149500</x:v>
      </x:c>
      <x:c r="K23" s="133" t="str">
        <x:v>普通千川</x:v>
      </x:c>
      <x:c r="L23" s="144" t="n">
        <x:v>25</x:v>
      </x:c>
      <x:c r="M23" s="144" t="n">
        <x:f>J23/10000*L23</x:f>
        <x:v>373.75</x:v>
      </x:c>
      <x:c r="N23" s="141" t="n">
        <x:f>ROUNDDOWN(200*MIN(1,MAX(0,T23-M23)/510),0)</x:f>
        <x:v>200</x:v>
      </x:c>
      <x:c r="O23" s="141" t="n">
        <x:f>ROUNDDOWN(15*MIN(1,MAX(0,T23-M23)/510),0)</x:f>
        <x:v>15</x:v>
      </x:c>
      <x:c r="P23" s="141" t="n">
        <x:f>ROUNDDOWN(300*MIN(1,MAX(0,T23-M23)/510),0)</x:f>
        <x:v>300</x:v>
      </x:c>
      <x:c r="Q23" s="141" t="n">
        <x:f>ROUNDDOWN(200*MIN(1,MAX(0,T23-M23)/510),0)</x:f>
        <x:v>200</x:v>
      </x:c>
      <x:c r="R23" s="145" t="n">
        <x:f>N23*0.8+O23*18+P23*0.2+Q23*0.1</x:f>
        <x:v>510</x:v>
      </x:c>
      <x:c r="S23" s="146" t="n">
        <x:f>M23+R23</x:f>
        <x:v>883.75</x:v>
      </x:c>
      <x:c r="T23" s="146" t="n">
        <x:f>G23*30%</x:f>
        <x:v>2340</x:v>
      </x:c>
      <x:c r="U23" s="148" t="n">
        <x:f>S23/G23</x:f>
        <x:v>0.11330128205128205</x:v>
      </x:c>
      <x:c r="V23" s="146" t="n">
        <x:f>T23-S23</x:f>
        <x:v>1456.25</x:v>
      </x:c>
      <x:c r="W23" s="134" t="str">
        <x:f>IF(U23&lt;=30%,"合规","超预算")</x:f>
        <x:v>合规</x:v>
      </x:c>
      <x:c r="X23" s="137" t="str">
        <x:v>https://www.douyin.com/user/MS4wLjABAAAAbRgpD5qO5M7mlI-ALMWDbsqjwiSeFC1WxNPKVgjsSCbFam1N0thGyVDw-PfRjICt</x:v>
      </x:c>
    </x:row>
    <x:row r="24" ht="26" customHeight="1">
      <x:c r="A24" s="130" t="str">
        <x:v>游梗要说</x:v>
      </x:c>
      <x:c r="B24" s="139" t="n">
        <x:v>7800</x:v>
      </x:c>
      <x:c r="C24" s="139" t="n">
        <x:v>4680</x:v>
      </x:c>
      <x:c r="D24" s="131" t="str">
        <x:v>平台单</x:v>
      </x:c>
      <x:c r="E24" s="139" t="n">
        <x:v>7000</x:v>
      </x:c>
      <x:c r="F24" s="140" t="n">
        <x:v>0.7</x:v>
      </x:c>
      <x:c r="G24" s="139" t="n">
        <x:f>E24*F24</x:f>
        <x:v>4900</x:v>
      </x:c>
      <x:c r="H24" s="141" t="n">
        <x:f>E24*80%*1000/30</x:f>
        <x:v>186666.66666666666</x:v>
      </x:c>
      <x:c r="I24" s="142" t="n">
        <x:f>E24/200*1000*1.5</x:f>
        <x:v>52500</x:v>
      </x:c>
      <x:c r="J24" s="141" t="n">
        <x:f>MAX(0,H24-I24)</x:f>
        <x:v>134166.66666666666</x:v>
      </x:c>
      <x:c r="K24" s="133" t="str">
        <x:v>千川无视版</x:v>
      </x:c>
      <x:c r="L24" s="144" t="n">
        <x:v>55</x:v>
      </x:c>
      <x:c r="M24" s="144" t="n">
        <x:f>J24/10000*L24</x:f>
        <x:v>737.9166666666666</x:v>
      </x:c>
      <x:c r="N24" s="141" t="n">
        <x:f>ROUNDDOWN(200*MIN(1,MAX(0,T24-M24)/510),0)</x:f>
        <x:v>200</x:v>
      </x:c>
      <x:c r="O24" s="141" t="n">
        <x:f>ROUNDDOWN(15*MIN(1,MAX(0,T24-M24)/510),0)</x:f>
        <x:v>15</x:v>
      </x:c>
      <x:c r="P24" s="141" t="n">
        <x:f>ROUNDDOWN(300*MIN(1,MAX(0,T24-M24)/510),0)</x:f>
        <x:v>300</x:v>
      </x:c>
      <x:c r="Q24" s="141" t="n">
        <x:f>ROUNDDOWN(200*MIN(1,MAX(0,T24-M24)/510),0)</x:f>
        <x:v>200</x:v>
      </x:c>
      <x:c r="R24" s="145" t="n">
        <x:f>N24*0.8+O24*18+P24*0.2+Q24*0.1</x:f>
        <x:v>510</x:v>
      </x:c>
      <x:c r="S24" s="146" t="n">
        <x:f>M24+R24</x:f>
        <x:v>1247.9166666666665</x:v>
      </x:c>
      <x:c r="T24" s="146" t="n">
        <x:f>G24*30%</x:f>
        <x:v>1470</x:v>
      </x:c>
      <x:c r="U24" s="148" t="n">
        <x:f>S24/G24</x:f>
        <x:v>0.2546768707482993</x:v>
      </x:c>
      <x:c r="V24" s="146" t="n">
        <x:f>T24-S24</x:f>
        <x:v>222.08333333333348</x:v>
      </x:c>
      <x:c r="W24" s="134" t="str">
        <x:f>IF(U24&lt;=30%,"合规","超预算")</x:f>
        <x:v>合规</x:v>
      </x:c>
      <x:c r="X24" s="137" t="str">
        <x:v>https://www.douyin.com/user/MS4wLjABAAAAbRgpD5qO5M7mlI-ALMWDbsqjwiSeFC1WxNPKVgjsSCbFam1N0thGyVDw-PfRjICt</x:v>
      </x:c>
    </x:row>
    <x:row r="25" ht="26" customHeight="1">
      <x:c r="A25" s="135" t="str">
        <x:v>中二探长</x:v>
      </x:c>
      <x:c r="B25" s="139" t="n">
        <x:v>3750</x:v>
      </x:c>
      <x:c r="C25" s="139" t="n">
        <x:v>2250</x:v>
      </x:c>
      <x:c r="D25" s="131" t="str">
        <x:v>私单</x:v>
      </x:c>
      <x:c r="E25" s="139" t="n">
        <x:v>3750</x:v>
      </x:c>
      <x:c r="F25" s="140" t="n">
        <x:v>1</x:v>
      </x:c>
      <x:c r="G25" s="139" t="n">
        <x:f>E25*F25</x:f>
        <x:v>3750</x:v>
      </x:c>
      <x:c r="H25" s="143" t="n">
        <x:f>E25*80%*1000/30</x:f>
        <x:v>100000</x:v>
      </x:c>
      <x:c r="I25" s="142" t="n">
        <x:f>E25/200*1000*1.5</x:f>
        <x:v>28125</x:v>
      </x:c>
      <x:c r="J25" s="143" t="n">
        <x:f>MAX(0,H25-I25)</x:f>
        <x:v>71875</x:v>
      </x:c>
      <x:c r="K25" s="133" t="str">
        <x:v>普通千川</x:v>
      </x:c>
      <x:c r="L25" s="144" t="n">
        <x:v>25</x:v>
      </x:c>
      <x:c r="M25" s="144" t="n">
        <x:f>J25/10000*L25</x:f>
        <x:v>179.6875</x:v>
      </x:c>
      <x:c r="N25" s="143" t="n">
        <x:f>ROUNDDOWN(200*MIN(1,MAX(0,T25-M25)/510),0)</x:f>
        <x:v>200</x:v>
      </x:c>
      <x:c r="O25" s="143" t="n">
        <x:f>ROUNDDOWN(15*MIN(1,MAX(0,T25-M25)/510),0)</x:f>
        <x:v>15</x:v>
      </x:c>
      <x:c r="P25" s="143" t="n">
        <x:f>ROUNDDOWN(300*MIN(1,MAX(0,T25-M25)/510),0)</x:f>
        <x:v>300</x:v>
      </x:c>
      <x:c r="Q25" s="143" t="n">
        <x:f>ROUNDDOWN(200*MIN(1,MAX(0,T25-M25)/510),0)</x:f>
        <x:v>200</x:v>
      </x:c>
      <x:c r="R25" s="147" t="n">
        <x:f>N25*0.8+O25*18+P25*0.2+Q25*0.1</x:f>
        <x:v>510</x:v>
      </x:c>
      <x:c r="S25" s="146" t="n">
        <x:f>M25+R25</x:f>
        <x:v>689.6875</x:v>
      </x:c>
      <x:c r="T25" s="146" t="n">
        <x:f>G25*30%</x:f>
        <x:v>1125</x:v>
      </x:c>
      <x:c r="U25" s="148" t="n">
        <x:f>S25/G25</x:f>
        <x:v>0.18391666666666667</x:v>
      </x:c>
      <x:c r="V25" s="146" t="n">
        <x:f>T25-S25</x:f>
        <x:v>435.3125</x:v>
      </x:c>
      <x:c r="W25" s="134" t="str">
        <x:f>IF(U25&lt;=30%,"合规","超预算")</x:f>
        <x:v>合规</x:v>
      </x:c>
      <x:c r="X25" s="138" t="str">
        <x:v>https://v.douyin.com/mFA-j2xaAJY/</x:v>
      </x:c>
    </x:row>
    <x:row r="26" ht="26" customHeight="1">
      <x:c r="A26" s="135" t="str">
        <x:v>中二探长</x:v>
      </x:c>
      <x:c r="B26" s="139" t="n">
        <x:v>3750</x:v>
      </x:c>
      <x:c r="C26" s="139" t="n">
        <x:v>2250</x:v>
      </x:c>
      <x:c r="D26" s="131" t="str">
        <x:v>平台单</x:v>
      </x:c>
      <x:c r="E26" s="139" t="n">
        <x:v>7000</x:v>
      </x:c>
      <x:c r="F26" s="140" t="n">
        <x:v>0.7</x:v>
      </x:c>
      <x:c r="G26" s="139" t="n">
        <x:f>E26*F26</x:f>
        <x:v>4900</x:v>
      </x:c>
      <x:c r="H26" s="143" t="n">
        <x:f>E26*80%*1000/30</x:f>
        <x:v>186666.66666666666</x:v>
      </x:c>
      <x:c r="I26" s="142" t="n">
        <x:f>E26/200*1000*1.5</x:f>
        <x:v>52500</x:v>
      </x:c>
      <x:c r="J26" s="143" t="n">
        <x:f>MAX(0,H26-I26)</x:f>
        <x:v>134166.66666666666</x:v>
      </x:c>
      <x:c r="K26" s="133" t="str">
        <x:v>千川无视版</x:v>
      </x:c>
      <x:c r="L26" s="144" t="n">
        <x:v>55</x:v>
      </x:c>
      <x:c r="M26" s="144" t="n">
        <x:f>J26/10000*L26</x:f>
        <x:v>737.9166666666666</x:v>
      </x:c>
      <x:c r="N26" s="143" t="n">
        <x:f>ROUNDDOWN(200*MIN(1,MAX(0,T26-M26)/510),0)</x:f>
        <x:v>200</x:v>
      </x:c>
      <x:c r="O26" s="143" t="n">
        <x:f>ROUNDDOWN(15*MIN(1,MAX(0,T26-M26)/510),0)</x:f>
        <x:v>15</x:v>
      </x:c>
      <x:c r="P26" s="143" t="n">
        <x:f>ROUNDDOWN(300*MIN(1,MAX(0,T26-M26)/510),0)</x:f>
        <x:v>300</x:v>
      </x:c>
      <x:c r="Q26" s="143" t="n">
        <x:f>ROUNDDOWN(200*MIN(1,MAX(0,T26-M26)/510),0)</x:f>
        <x:v>200</x:v>
      </x:c>
      <x:c r="R26" s="147" t="n">
        <x:f>N26*0.8+O26*18+P26*0.2+Q26*0.1</x:f>
        <x:v>510</x:v>
      </x:c>
      <x:c r="S26" s="146" t="n">
        <x:f>M26+R26</x:f>
        <x:v>1247.9166666666665</x:v>
      </x:c>
      <x:c r="T26" s="146" t="n">
        <x:f>G26*30%</x:f>
        <x:v>1470</x:v>
      </x:c>
      <x:c r="U26" s="148" t="n">
        <x:f>S26/G26</x:f>
        <x:v>0.2546768707482993</x:v>
      </x:c>
      <x:c r="V26" s="146" t="n">
        <x:f>T26-S26</x:f>
        <x:v>222.08333333333348</x:v>
      </x:c>
      <x:c r="W26" s="134" t="str">
        <x:f>IF(U26&lt;=30%,"合规","超预算")</x:f>
        <x:v>合规</x:v>
      </x:c>
      <x:c r="X26" s="138" t="str">
        <x:v>https://v.douyin.com/mFA-j2xaAJY/</x:v>
      </x:c>
    </x:row>
    <x:row r="27" ht="26" customHeight="1">
      <x:c r="A27" s="130" t="str">
        <x:v>嘿小虎</x:v>
      </x:c>
      <x:c r="B27" s="139" t="n">
        <x:v>3000</x:v>
      </x:c>
      <x:c r="C27" s="139" t="n">
        <x:v>1800</x:v>
      </x:c>
      <x:c r="D27" s="131" t="str">
        <x:v>私单</x:v>
      </x:c>
      <x:c r="E27" s="139" t="n">
        <x:v>3000</x:v>
      </x:c>
      <x:c r="F27" s="140" t="n">
        <x:v>1</x:v>
      </x:c>
      <x:c r="G27" s="139" t="n">
        <x:f>E27*F27</x:f>
        <x:v>3000</x:v>
      </x:c>
      <x:c r="H27" s="141" t="n">
        <x:f>E27*80%*1000/30</x:f>
        <x:v>80000</x:v>
      </x:c>
      <x:c r="I27" s="142" t="n">
        <x:f>E27/200*1000*1.5</x:f>
        <x:v>22500</x:v>
      </x:c>
      <x:c r="J27" s="141" t="n">
        <x:f>MAX(0,H27-I27)</x:f>
        <x:v>57500</x:v>
      </x:c>
      <x:c r="K27" s="133" t="str">
        <x:v>普通千川</x:v>
      </x:c>
      <x:c r="L27" s="144" t="n">
        <x:v>25</x:v>
      </x:c>
      <x:c r="M27" s="144" t="n">
        <x:f>J27/10000*L27</x:f>
        <x:v>143.75</x:v>
      </x:c>
      <x:c r="N27" s="141" t="n">
        <x:f>ROUNDDOWN(200*MIN(1,MAX(0,T27-M27)/510),0)</x:f>
        <x:v>200</x:v>
      </x:c>
      <x:c r="O27" s="141" t="n">
        <x:f>ROUNDDOWN(15*MIN(1,MAX(0,T27-M27)/510),0)</x:f>
        <x:v>15</x:v>
      </x:c>
      <x:c r="P27" s="141" t="n">
        <x:f>ROUNDDOWN(300*MIN(1,MAX(0,T27-M27)/510),0)</x:f>
        <x:v>300</x:v>
      </x:c>
      <x:c r="Q27" s="141" t="n">
        <x:f>ROUNDDOWN(200*MIN(1,MAX(0,T27-M27)/510),0)</x:f>
        <x:v>200</x:v>
      </x:c>
      <x:c r="R27" s="145" t="n">
        <x:f>N27*0.8+O27*18+P27*0.2+Q27*0.1</x:f>
        <x:v>510</x:v>
      </x:c>
      <x:c r="S27" s="146" t="n">
        <x:f>M27+R27</x:f>
        <x:v>653.75</x:v>
      </x:c>
      <x:c r="T27" s="146" t="n">
        <x:f>G27*30%</x:f>
        <x:v>900</x:v>
      </x:c>
      <x:c r="U27" s="148" t="n">
        <x:f>S27/G27</x:f>
        <x:v>0.21791666666666668</x:v>
      </x:c>
      <x:c r="V27" s="146" t="n">
        <x:f>T27-S27</x:f>
        <x:v>246.25</x:v>
      </x:c>
      <x:c r="W27" s="134" t="str">
        <x:f>IF(U27&lt;=30%,"合规","超预算")</x:f>
        <x:v>合规</x:v>
      </x:c>
      <x:c r="X27" s="137" t="str">
        <x:v>https://v.douyin.com/lIhi6TchbPw/</x:v>
      </x:c>
    </x:row>
    <x:row r="28" ht="26" customHeight="1">
      <x:c r="A28" s="130" t="str">
        <x:v>嘿小虎</x:v>
      </x:c>
      <x:c r="B28" s="139" t="n">
        <x:v>3000</x:v>
      </x:c>
      <x:c r="C28" s="139" t="n">
        <x:v>1800</x:v>
      </x:c>
      <x:c r="D28" s="131" t="str">
        <x:v>平台单</x:v>
      </x:c>
      <x:c r="E28" s="139" t="n">
        <x:v>7000</x:v>
      </x:c>
      <x:c r="F28" s="140" t="n">
        <x:v>0.7</x:v>
      </x:c>
      <x:c r="G28" s="139" t="n">
        <x:f>E28*F28</x:f>
        <x:v>4900</x:v>
      </x:c>
      <x:c r="H28" s="141" t="n">
        <x:f>E28*80%*1000/30</x:f>
        <x:v>186666.66666666666</x:v>
      </x:c>
      <x:c r="I28" s="142" t="n">
        <x:f>E28/200*1000*1.5</x:f>
        <x:v>52500</x:v>
      </x:c>
      <x:c r="J28" s="141" t="n">
        <x:f>MAX(0,H28-I28)</x:f>
        <x:v>134166.66666666666</x:v>
      </x:c>
      <x:c r="K28" s="133" t="str">
        <x:v>千川无视版</x:v>
      </x:c>
      <x:c r="L28" s="144" t="n">
        <x:v>55</x:v>
      </x:c>
      <x:c r="M28" s="144" t="n">
        <x:f>J28/10000*L28</x:f>
        <x:v>737.9166666666666</x:v>
      </x:c>
      <x:c r="N28" s="141" t="n">
        <x:f>ROUNDDOWN(200*MIN(1,MAX(0,T28-M28)/510),0)</x:f>
        <x:v>200</x:v>
      </x:c>
      <x:c r="O28" s="141" t="n">
        <x:f>ROUNDDOWN(15*MIN(1,MAX(0,T28-M28)/510),0)</x:f>
        <x:v>15</x:v>
      </x:c>
      <x:c r="P28" s="141" t="n">
        <x:f>ROUNDDOWN(300*MIN(1,MAX(0,T28-M28)/510),0)</x:f>
        <x:v>300</x:v>
      </x:c>
      <x:c r="Q28" s="141" t="n">
        <x:f>ROUNDDOWN(200*MIN(1,MAX(0,T28-M28)/510),0)</x:f>
        <x:v>200</x:v>
      </x:c>
      <x:c r="R28" s="145" t="n">
        <x:f>N28*0.8+O28*18+P28*0.2+Q28*0.1</x:f>
        <x:v>510</x:v>
      </x:c>
      <x:c r="S28" s="146" t="n">
        <x:f>M28+R28</x:f>
        <x:v>1247.9166666666665</x:v>
      </x:c>
      <x:c r="T28" s="146" t="n">
        <x:f>G28*30%</x:f>
        <x:v>1470</x:v>
      </x:c>
      <x:c r="U28" s="148" t="n">
        <x:f>S28/G28</x:f>
        <x:v>0.2546768707482993</x:v>
      </x:c>
      <x:c r="V28" s="146" t="n">
        <x:f>T28-S28</x:f>
        <x:v>222.08333333333348</x:v>
      </x:c>
      <x:c r="W28" s="134" t="str">
        <x:f>IF(U28&lt;=30%,"合规","超预算")</x:f>
        <x:v>合规</x:v>
      </x:c>
      <x:c r="X28" s="137" t="str">
        <x:v>https://v.douyin.com/lIhi6TchbPw/</x:v>
      </x:c>
    </x:row>
    <x:row r="29" ht="26" customHeight="1">
      <x:c r="A29" s="135" t="str">
        <x:v>有事找学姐</x:v>
      </x:c>
      <x:c r="B29" s="139" t="n">
        <x:v>7150</x:v>
      </x:c>
      <x:c r="C29" s="139" t="n">
        <x:v>4290</x:v>
      </x:c>
      <x:c r="D29" s="131" t="str">
        <x:v>私单</x:v>
      </x:c>
      <x:c r="E29" s="139" t="n">
        <x:v>7150</x:v>
      </x:c>
      <x:c r="F29" s="140" t="n">
        <x:v>1</x:v>
      </x:c>
      <x:c r="G29" s="139" t="n">
        <x:f>E29*F29</x:f>
        <x:v>7150</x:v>
      </x:c>
      <x:c r="H29" s="143" t="n">
        <x:f>E29*80%*1000/30</x:f>
        <x:v>190666.66666666666</x:v>
      </x:c>
      <x:c r="I29" s="142" t="n">
        <x:f>E29/200*1000*1.5</x:f>
        <x:v>53625</x:v>
      </x:c>
      <x:c r="J29" s="143" t="n">
        <x:f>MAX(0,H29-I29)</x:f>
        <x:v>137041.66666666666</x:v>
      </x:c>
      <x:c r="K29" s="133" t="str">
        <x:v>普通千川</x:v>
      </x:c>
      <x:c r="L29" s="144" t="n">
        <x:v>25</x:v>
      </x:c>
      <x:c r="M29" s="144" t="n">
        <x:f>J29/10000*L29</x:f>
        <x:v>342.60416666666663</x:v>
      </x:c>
      <x:c r="N29" s="143" t="n">
        <x:f>ROUNDDOWN(200*MIN(1,MAX(0,T29-M29)/510),0)</x:f>
        <x:v>200</x:v>
      </x:c>
      <x:c r="O29" s="143" t="n">
        <x:f>ROUNDDOWN(15*MIN(1,MAX(0,T29-M29)/510),0)</x:f>
        <x:v>15</x:v>
      </x:c>
      <x:c r="P29" s="143" t="n">
        <x:f>ROUNDDOWN(300*MIN(1,MAX(0,T29-M29)/510),0)</x:f>
        <x:v>300</x:v>
      </x:c>
      <x:c r="Q29" s="143" t="n">
        <x:f>ROUNDDOWN(200*MIN(1,MAX(0,T29-M29)/510),0)</x:f>
        <x:v>200</x:v>
      </x:c>
      <x:c r="R29" s="147" t="n">
        <x:f>N29*0.8+O29*18+P29*0.2+Q29*0.1</x:f>
        <x:v>510</x:v>
      </x:c>
      <x:c r="S29" s="146" t="n">
        <x:f>M29+R29</x:f>
        <x:v>852.6041666666666</x:v>
      </x:c>
      <x:c r="T29" s="146" t="n">
        <x:f>G29*30%</x:f>
        <x:v>2145</x:v>
      </x:c>
      <x:c r="U29" s="148" t="n">
        <x:f>S29/G29</x:f>
        <x:v>0.11924533799533799</x:v>
      </x:c>
      <x:c r="V29" s="146" t="n">
        <x:f>T29-S29</x:f>
        <x:v>1292.3958333333335</x:v>
      </x:c>
      <x:c r="W29" s="134" t="str">
        <x:f>IF(U29&lt;=30%,"合规","超预算")</x:f>
        <x:v>合规</x:v>
      </x:c>
      <x:c r="X29" s="138" t="str">
        <x:v>https://v.douyin.com/ettSTTldPIc/</x:v>
      </x:c>
    </x:row>
    <x:row r="30" ht="26" customHeight="1">
      <x:c r="A30" s="135" t="str">
        <x:v>有事找学姐</x:v>
      </x:c>
      <x:c r="B30" s="139" t="n">
        <x:v>7150</x:v>
      </x:c>
      <x:c r="C30" s="139" t="n">
        <x:v>4290</x:v>
      </x:c>
      <x:c r="D30" s="131" t="str">
        <x:v>平台单</x:v>
      </x:c>
      <x:c r="E30" s="139" t="n">
        <x:v>7000</x:v>
      </x:c>
      <x:c r="F30" s="140" t="n">
        <x:v>0.7</x:v>
      </x:c>
      <x:c r="G30" s="139" t="n">
        <x:f>E30*F30</x:f>
        <x:v>4900</x:v>
      </x:c>
      <x:c r="H30" s="143" t="n">
        <x:f>E30*80%*1000/30</x:f>
        <x:v>186666.66666666666</x:v>
      </x:c>
      <x:c r="I30" s="142" t="n">
        <x:f>E30/200*1000*1.5</x:f>
        <x:v>52500</x:v>
      </x:c>
      <x:c r="J30" s="143" t="n">
        <x:f>MAX(0,H30-I30)</x:f>
        <x:v>134166.66666666666</x:v>
      </x:c>
      <x:c r="K30" s="133" t="str">
        <x:v>千川无视版</x:v>
      </x:c>
      <x:c r="L30" s="144" t="n">
        <x:v>55</x:v>
      </x:c>
      <x:c r="M30" s="144" t="n">
        <x:f>J30/10000*L30</x:f>
        <x:v>737.9166666666666</x:v>
      </x:c>
      <x:c r="N30" s="143" t="n">
        <x:f>ROUNDDOWN(200*MIN(1,MAX(0,T30-M30)/510),0)</x:f>
        <x:v>200</x:v>
      </x:c>
      <x:c r="O30" s="143" t="n">
        <x:f>ROUNDDOWN(15*MIN(1,MAX(0,T30-M30)/510),0)</x:f>
        <x:v>15</x:v>
      </x:c>
      <x:c r="P30" s="143" t="n">
        <x:f>ROUNDDOWN(300*MIN(1,MAX(0,T30-M30)/510),0)</x:f>
        <x:v>300</x:v>
      </x:c>
      <x:c r="Q30" s="143" t="n">
        <x:f>ROUNDDOWN(200*MIN(1,MAX(0,T30-M30)/510),0)</x:f>
        <x:v>200</x:v>
      </x:c>
      <x:c r="R30" s="147" t="n">
        <x:f>N30*0.8+O30*18+P30*0.2+Q30*0.1</x:f>
        <x:v>510</x:v>
      </x:c>
      <x:c r="S30" s="146" t="n">
        <x:f>M30+R30</x:f>
        <x:v>1247.9166666666665</x:v>
      </x:c>
      <x:c r="T30" s="146" t="n">
        <x:f>G30*30%</x:f>
        <x:v>1470</x:v>
      </x:c>
      <x:c r="U30" s="148" t="n">
        <x:f>S30/G30</x:f>
        <x:v>0.2546768707482993</x:v>
      </x:c>
      <x:c r="V30" s="146" t="n">
        <x:f>T30-S30</x:f>
        <x:v>222.08333333333348</x:v>
      </x:c>
      <x:c r="W30" s="134" t="str">
        <x:f>IF(U30&lt;=30%,"合规","超预算")</x:f>
        <x:v>合规</x:v>
      </x:c>
      <x:c r="X30" s="138" t="str">
        <x:v>https://v.douyin.com/ettSTTldPIc/</x:v>
      </x:c>
    </x:row>
    <x:row r="31" ht="26" customHeight="1">
      <x:c r="A31" s="130" t="str">
        <x:v>游点慌</x:v>
      </x:c>
      <x:c r="B31" s="139" t="n">
        <x:v>7800</x:v>
      </x:c>
      <x:c r="C31" s="139" t="n">
        <x:v>4680</x:v>
      </x:c>
      <x:c r="D31" s="131" t="str">
        <x:v>私单</x:v>
      </x:c>
      <x:c r="E31" s="139" t="n">
        <x:v>7800</x:v>
      </x:c>
      <x:c r="F31" s="140" t="n">
        <x:v>1</x:v>
      </x:c>
      <x:c r="G31" s="139" t="n">
        <x:f>E31*F31</x:f>
        <x:v>7800</x:v>
      </x:c>
      <x:c r="H31" s="141" t="n">
        <x:f>E31*80%*1000/30</x:f>
        <x:v>208000</x:v>
      </x:c>
      <x:c r="I31" s="142" t="n">
        <x:f>E31/200*1000*1.5</x:f>
        <x:v>58500</x:v>
      </x:c>
      <x:c r="J31" s="141" t="n">
        <x:f>MAX(0,H31-I31)</x:f>
        <x:v>149500</x:v>
      </x:c>
      <x:c r="K31" s="133" t="str">
        <x:v>普通千川</x:v>
      </x:c>
      <x:c r="L31" s="144" t="n">
        <x:v>25</x:v>
      </x:c>
      <x:c r="M31" s="144" t="n">
        <x:f>J31/10000*L31</x:f>
        <x:v>373.75</x:v>
      </x:c>
      <x:c r="N31" s="141" t="n">
        <x:f>ROUNDDOWN(200*MIN(1,MAX(0,T31-M31)/510),0)</x:f>
        <x:v>200</x:v>
      </x:c>
      <x:c r="O31" s="141" t="n">
        <x:f>ROUNDDOWN(15*MIN(1,MAX(0,T31-M31)/510),0)</x:f>
        <x:v>15</x:v>
      </x:c>
      <x:c r="P31" s="141" t="n">
        <x:f>ROUNDDOWN(300*MIN(1,MAX(0,T31-M31)/510),0)</x:f>
        <x:v>300</x:v>
      </x:c>
      <x:c r="Q31" s="141" t="n">
        <x:f>ROUNDDOWN(200*MIN(1,MAX(0,T31-M31)/510),0)</x:f>
        <x:v>200</x:v>
      </x:c>
      <x:c r="R31" s="145" t="n">
        <x:f>N31*0.8+O31*18+P31*0.2+Q31*0.1</x:f>
        <x:v>510</x:v>
      </x:c>
      <x:c r="S31" s="146" t="n">
        <x:f>M31+R31</x:f>
        <x:v>883.75</x:v>
      </x:c>
      <x:c r="T31" s="146" t="n">
        <x:f>G31*30%</x:f>
        <x:v>2340</x:v>
      </x:c>
      <x:c r="U31" s="148" t="n">
        <x:f>S31/G31</x:f>
        <x:v>0.11330128205128205</x:v>
      </x:c>
      <x:c r="V31" s="146" t="n">
        <x:f>T31-S31</x:f>
        <x:v>1456.25</x:v>
      </x:c>
      <x:c r="W31" s="134" t="str">
        <x:f>IF(U31&lt;=30%,"合规","超预算")</x:f>
        <x:v>合规</x:v>
      </x:c>
      <x:c r="X31" s="137" t="str">
        <x:v>https://v.douyin.com/2hO1tem8Xhg/</x:v>
      </x:c>
    </x:row>
    <x:row r="32" ht="26" customHeight="1">
      <x:c r="A32" s="130" t="str">
        <x:v>游点慌</x:v>
      </x:c>
      <x:c r="B32" s="139" t="n">
        <x:v>7800</x:v>
      </x:c>
      <x:c r="C32" s="139" t="n">
        <x:v>4680</x:v>
      </x:c>
      <x:c r="D32" s="131" t="str">
        <x:v>平台单</x:v>
      </x:c>
      <x:c r="E32" s="139" t="n">
        <x:v>7000</x:v>
      </x:c>
      <x:c r="F32" s="140" t="n">
        <x:v>0.7</x:v>
      </x:c>
      <x:c r="G32" s="139" t="n">
        <x:f>E32*F32</x:f>
        <x:v>4900</x:v>
      </x:c>
      <x:c r="H32" s="141" t="n">
        <x:f>E32*80%*1000/30</x:f>
        <x:v>186666.66666666666</x:v>
      </x:c>
      <x:c r="I32" s="142" t="n">
        <x:f>E32/200*1000*1.5</x:f>
        <x:v>52500</x:v>
      </x:c>
      <x:c r="J32" s="141" t="n">
        <x:f>MAX(0,H32-I32)</x:f>
        <x:v>134166.66666666666</x:v>
      </x:c>
      <x:c r="K32" s="133" t="str">
        <x:v>千川无视版</x:v>
      </x:c>
      <x:c r="L32" s="144" t="n">
        <x:v>55</x:v>
      </x:c>
      <x:c r="M32" s="144" t="n">
        <x:f>J32/10000*L32</x:f>
        <x:v>737.9166666666666</x:v>
      </x:c>
      <x:c r="N32" s="141" t="n">
        <x:f>ROUNDDOWN(200*MIN(1,MAX(0,T32-M32)/510),0)</x:f>
        <x:v>200</x:v>
      </x:c>
      <x:c r="O32" s="141" t="n">
        <x:f>ROUNDDOWN(15*MIN(1,MAX(0,T32-M32)/510),0)</x:f>
        <x:v>15</x:v>
      </x:c>
      <x:c r="P32" s="141" t="n">
        <x:f>ROUNDDOWN(300*MIN(1,MAX(0,T32-M32)/510),0)</x:f>
        <x:v>300</x:v>
      </x:c>
      <x:c r="Q32" s="141" t="n">
        <x:f>ROUNDDOWN(200*MIN(1,MAX(0,T32-M32)/510),0)</x:f>
        <x:v>200</x:v>
      </x:c>
      <x:c r="R32" s="145" t="n">
        <x:f>N32*0.8+O32*18+P32*0.2+Q32*0.1</x:f>
        <x:v>510</x:v>
      </x:c>
      <x:c r="S32" s="146" t="n">
        <x:f>M32+R32</x:f>
        <x:v>1247.9166666666665</x:v>
      </x:c>
      <x:c r="T32" s="146" t="n">
        <x:f>G32*30%</x:f>
        <x:v>1470</x:v>
      </x:c>
      <x:c r="U32" s="148" t="n">
        <x:f>S32/G32</x:f>
        <x:v>0.2546768707482993</x:v>
      </x:c>
      <x:c r="V32" s="146" t="n">
        <x:f>T32-S32</x:f>
        <x:v>222.08333333333348</x:v>
      </x:c>
      <x:c r="W32" s="134" t="str">
        <x:f>IF(U32&lt;=30%,"合规","超预算")</x:f>
        <x:v>合规</x:v>
      </x:c>
      <x:c r="X32" s="137" t="str">
        <x:v>https://v.douyin.com/2hO1tem8Xhg/</x:v>
      </x:c>
    </x:row>
    <x:row r="33" ht="26" customHeight="1">
      <x:c r="A33" s="135" t="str">
        <x:v>饭十七</x:v>
      </x:c>
      <x:c r="B33" s="139" t="n">
        <x:v>7400</x:v>
      </x:c>
      <x:c r="C33" s="139" t="n">
        <x:v>4440</x:v>
      </x:c>
      <x:c r="D33" s="131" t="str">
        <x:v>私单</x:v>
      </x:c>
      <x:c r="E33" s="139" t="n">
        <x:v>7400</x:v>
      </x:c>
      <x:c r="F33" s="140" t="n">
        <x:v>1</x:v>
      </x:c>
      <x:c r="G33" s="139" t="n">
        <x:f>E33*F33</x:f>
        <x:v>7400</x:v>
      </x:c>
      <x:c r="H33" s="143" t="n">
        <x:f>E33*80%*1000/30</x:f>
        <x:v>197333.33333333334</x:v>
      </x:c>
      <x:c r="I33" s="142" t="n">
        <x:f>E33/200*1000*1.5</x:f>
        <x:v>55500</x:v>
      </x:c>
      <x:c r="J33" s="143" t="n">
        <x:f>MAX(0,H33-I33)</x:f>
        <x:v>141833.33333333334</x:v>
      </x:c>
      <x:c r="K33" s="133" t="str">
        <x:v>普通千川</x:v>
      </x:c>
      <x:c r="L33" s="144" t="n">
        <x:v>25</x:v>
      </x:c>
      <x:c r="M33" s="144" t="n">
        <x:f>J33/10000*L33</x:f>
        <x:v>354.5833333333333</x:v>
      </x:c>
      <x:c r="N33" s="143" t="n">
        <x:f>ROUNDDOWN(200*MIN(1,MAX(0,T33-M33)/510),0)</x:f>
        <x:v>200</x:v>
      </x:c>
      <x:c r="O33" s="143" t="n">
        <x:f>ROUNDDOWN(15*MIN(1,MAX(0,T33-M33)/510),0)</x:f>
        <x:v>15</x:v>
      </x:c>
      <x:c r="P33" s="143" t="n">
        <x:f>ROUNDDOWN(300*MIN(1,MAX(0,T33-M33)/510),0)</x:f>
        <x:v>300</x:v>
      </x:c>
      <x:c r="Q33" s="143" t="n">
        <x:f>ROUNDDOWN(200*MIN(1,MAX(0,T33-M33)/510),0)</x:f>
        <x:v>200</x:v>
      </x:c>
      <x:c r="R33" s="147" t="n">
        <x:f>N33*0.8+O33*18+P33*0.2+Q33*0.1</x:f>
        <x:v>510</x:v>
      </x:c>
      <x:c r="S33" s="146" t="n">
        <x:f>M33+R33</x:f>
        <x:v>864.5833333333333</x:v>
      </x:c>
      <x:c r="T33" s="146" t="n">
        <x:f>G33*30%</x:f>
        <x:v>2220</x:v>
      </x:c>
      <x:c r="U33" s="148" t="n">
        <x:f>S33/G33</x:f>
        <x:v>0.11683558558558557</x:v>
      </x:c>
      <x:c r="V33" s="146" t="n">
        <x:f>T33-S33</x:f>
        <x:v>1355.4166666666667</x:v>
      </x:c>
      <x:c r="W33" s="134" t="str">
        <x:f>IF(U33&lt;=30%,"合规","超预算")</x:f>
        <x:v>合规</x:v>
      </x:c>
      <x:c r="X33" s="138" t="str">
        <x:v>https://v.douyin.com/m8vFSRuq1co/</x:v>
      </x:c>
    </x:row>
    <x:row r="34" ht="26" customHeight="1">
      <x:c r="A34" s="135" t="str">
        <x:v>饭十七</x:v>
      </x:c>
      <x:c r="B34" s="139" t="n">
        <x:v>7400</x:v>
      </x:c>
      <x:c r="C34" s="139" t="n">
        <x:v>4440</x:v>
      </x:c>
      <x:c r="D34" s="131" t="str">
        <x:v>平台单</x:v>
      </x:c>
      <x:c r="E34" s="139" t="n">
        <x:v>7000</x:v>
      </x:c>
      <x:c r="F34" s="140" t="n">
        <x:v>0.7</x:v>
      </x:c>
      <x:c r="G34" s="139" t="n">
        <x:f>E34*F34</x:f>
        <x:v>4900</x:v>
      </x:c>
      <x:c r="H34" s="143" t="n">
        <x:f>E34*80%*1000/30</x:f>
        <x:v>186666.66666666666</x:v>
      </x:c>
      <x:c r="I34" s="142" t="n">
        <x:f>E34/200*1000*1.5</x:f>
        <x:v>52500</x:v>
      </x:c>
      <x:c r="J34" s="143" t="n">
        <x:f>MAX(0,H34-I34)</x:f>
        <x:v>134166.66666666666</x:v>
      </x:c>
      <x:c r="K34" s="133" t="str">
        <x:v>千川无视版</x:v>
      </x:c>
      <x:c r="L34" s="144" t="n">
        <x:v>55</x:v>
      </x:c>
      <x:c r="M34" s="144" t="n">
        <x:f>J34/10000*L34</x:f>
        <x:v>737.9166666666666</x:v>
      </x:c>
      <x:c r="N34" s="143" t="n">
        <x:f>ROUNDDOWN(200*MIN(1,MAX(0,T34-M34)/510),0)</x:f>
        <x:v>200</x:v>
      </x:c>
      <x:c r="O34" s="143" t="n">
        <x:f>ROUNDDOWN(15*MIN(1,MAX(0,T34-M34)/510),0)</x:f>
        <x:v>15</x:v>
      </x:c>
      <x:c r="P34" s="143" t="n">
        <x:f>ROUNDDOWN(300*MIN(1,MAX(0,T34-M34)/510),0)</x:f>
        <x:v>300</x:v>
      </x:c>
      <x:c r="Q34" s="143" t="n">
        <x:f>ROUNDDOWN(200*MIN(1,MAX(0,T34-M34)/510),0)</x:f>
        <x:v>200</x:v>
      </x:c>
      <x:c r="R34" s="147" t="n">
        <x:f>N34*0.8+O34*18+P34*0.2+Q34*0.1</x:f>
        <x:v>510</x:v>
      </x:c>
      <x:c r="S34" s="146" t="n">
        <x:f>M34+R34</x:f>
        <x:v>1247.9166666666665</x:v>
      </x:c>
      <x:c r="T34" s="146" t="n">
        <x:f>G34*30%</x:f>
        <x:v>1470</x:v>
      </x:c>
      <x:c r="U34" s="148" t="n">
        <x:f>S34/G34</x:f>
        <x:v>0.2546768707482993</x:v>
      </x:c>
      <x:c r="V34" s="146" t="n">
        <x:f>T34-S34</x:f>
        <x:v>222.08333333333348</x:v>
      </x:c>
      <x:c r="W34" s="134" t="str">
        <x:f>IF(U34&lt;=30%,"合规","超预算")</x:f>
        <x:v>合规</x:v>
      </x:c>
      <x:c r="X34" s="138" t="str">
        <x:v>https://v.douyin.com/m8vFSRuq1co/</x:v>
      </x:c>
    </x:row>
    <x:row r="35" ht="26" customHeight="1">
      <x:c r="A35" s="130" t="str">
        <x:v>跑腿的包子</x:v>
      </x:c>
      <x:c r="B35" s="139" t="n">
        <x:v>7000</x:v>
      </x:c>
      <x:c r="C35" s="139" t="n">
        <x:v>4200</x:v>
      </x:c>
      <x:c r="D35" s="131" t="str">
        <x:v>私单</x:v>
      </x:c>
      <x:c r="E35" s="139" t="n">
        <x:v>7000</x:v>
      </x:c>
      <x:c r="F35" s="140" t="n">
        <x:v>1</x:v>
      </x:c>
      <x:c r="G35" s="139" t="n">
        <x:f>E35*F35</x:f>
        <x:v>7000</x:v>
      </x:c>
      <x:c r="H35" s="141" t="n">
        <x:f>E35*80%*1000/30</x:f>
        <x:v>186666.66666666666</x:v>
      </x:c>
      <x:c r="I35" s="142" t="n">
        <x:f>E35/200*1000*1.5</x:f>
        <x:v>52500</x:v>
      </x:c>
      <x:c r="J35" s="141" t="n">
        <x:f>MAX(0,H35-I35)</x:f>
        <x:v>134166.66666666666</x:v>
      </x:c>
      <x:c r="K35" s="133" t="str">
        <x:v>普通千川</x:v>
      </x:c>
      <x:c r="L35" s="144" t="n">
        <x:v>25</x:v>
      </x:c>
      <x:c r="M35" s="144" t="n">
        <x:f>J35/10000*L35</x:f>
        <x:v>335.41666666666663</x:v>
      </x:c>
      <x:c r="N35" s="141" t="n">
        <x:f>ROUNDDOWN(200*MIN(1,MAX(0,T35-M35)/510),0)</x:f>
        <x:v>200</x:v>
      </x:c>
      <x:c r="O35" s="141" t="n">
        <x:f>ROUNDDOWN(15*MIN(1,MAX(0,T35-M35)/510),0)</x:f>
        <x:v>15</x:v>
      </x:c>
      <x:c r="P35" s="141" t="n">
        <x:f>ROUNDDOWN(300*MIN(1,MAX(0,T35-M35)/510),0)</x:f>
        <x:v>300</x:v>
      </x:c>
      <x:c r="Q35" s="141" t="n">
        <x:f>ROUNDDOWN(200*MIN(1,MAX(0,T35-M35)/510),0)</x:f>
        <x:v>200</x:v>
      </x:c>
      <x:c r="R35" s="145" t="n">
        <x:f>N35*0.8+O35*18+P35*0.2+Q35*0.1</x:f>
        <x:v>510</x:v>
      </x:c>
      <x:c r="S35" s="146" t="n">
        <x:f>M35+R35</x:f>
        <x:v>845.4166666666666</x:v>
      </x:c>
      <x:c r="T35" s="146" t="n">
        <x:f>G35*30%</x:f>
        <x:v>2100</x:v>
      </x:c>
      <x:c r="U35" s="148" t="n">
        <x:f>S35/G35</x:f>
        <x:v>0.12077380952380952</x:v>
      </x:c>
      <x:c r="V35" s="146" t="n">
        <x:f>T35-S35</x:f>
        <x:v>1254.5833333333335</x:v>
      </x:c>
      <x:c r="W35" s="134" t="str">
        <x:f>IF(U35&lt;=30%,"合规","超预算")</x:f>
        <x:v>合规</x:v>
      </x:c>
      <x:c r="X35" s="137" t="str">
        <x:v>https://v.douyin.com/Vva749Cn4Fk/</x:v>
      </x:c>
    </x:row>
    <x:row r="36" ht="26" customHeight="1">
      <x:c r="A36" s="130" t="str">
        <x:v>跑腿的包子</x:v>
      </x:c>
      <x:c r="B36" s="139" t="n">
        <x:v>7000</x:v>
      </x:c>
      <x:c r="C36" s="139" t="n">
        <x:v>4200</x:v>
      </x:c>
      <x:c r="D36" s="131" t="str">
        <x:v>平台单</x:v>
      </x:c>
      <x:c r="E36" s="139" t="n">
        <x:v>7000</x:v>
      </x:c>
      <x:c r="F36" s="140" t="n">
        <x:v>0.7</x:v>
      </x:c>
      <x:c r="G36" s="139" t="n">
        <x:f>E36*F36</x:f>
        <x:v>4900</x:v>
      </x:c>
      <x:c r="H36" s="141" t="n">
        <x:f>E36*80%*1000/30</x:f>
        <x:v>186666.66666666666</x:v>
      </x:c>
      <x:c r="I36" s="142" t="n">
        <x:f>E36/200*1000*1.5</x:f>
        <x:v>52500</x:v>
      </x:c>
      <x:c r="J36" s="141" t="n">
        <x:f>MAX(0,H36-I36)</x:f>
        <x:v>134166.66666666666</x:v>
      </x:c>
      <x:c r="K36" s="133" t="str">
        <x:v>千川无视版</x:v>
      </x:c>
      <x:c r="L36" s="144" t="n">
        <x:v>55</x:v>
      </x:c>
      <x:c r="M36" s="144" t="n">
        <x:f>J36/10000*L36</x:f>
        <x:v>737.9166666666666</x:v>
      </x:c>
      <x:c r="N36" s="141" t="n">
        <x:f>ROUNDDOWN(200*MIN(1,MAX(0,T36-M36)/510),0)</x:f>
        <x:v>200</x:v>
      </x:c>
      <x:c r="O36" s="141" t="n">
        <x:f>ROUNDDOWN(15*MIN(1,MAX(0,T36-M36)/510),0)</x:f>
        <x:v>15</x:v>
      </x:c>
      <x:c r="P36" s="141" t="n">
        <x:f>ROUNDDOWN(300*MIN(1,MAX(0,T36-M36)/510),0)</x:f>
        <x:v>300</x:v>
      </x:c>
      <x:c r="Q36" s="141" t="n">
        <x:f>ROUNDDOWN(200*MIN(1,MAX(0,T36-M36)/510),0)</x:f>
        <x:v>200</x:v>
      </x:c>
      <x:c r="R36" s="145" t="n">
        <x:f>N36*0.8+O36*18+P36*0.2+Q36*0.1</x:f>
        <x:v>510</x:v>
      </x:c>
      <x:c r="S36" s="146" t="n">
        <x:f>M36+R36</x:f>
        <x:v>1247.9166666666665</x:v>
      </x:c>
      <x:c r="T36" s="146" t="n">
        <x:f>G36*30%</x:f>
        <x:v>1470</x:v>
      </x:c>
      <x:c r="U36" s="148" t="n">
        <x:f>S36/G36</x:f>
        <x:v>0.2546768707482993</x:v>
      </x:c>
      <x:c r="V36" s="146" t="n">
        <x:f>T36-S36</x:f>
        <x:v>222.08333333333348</x:v>
      </x:c>
      <x:c r="W36" s="134" t="str">
        <x:f>IF(U36&lt;=30%,"合规","超预算")</x:f>
        <x:v>合规</x:v>
      </x:c>
      <x:c r="X36" s="137" t="str">
        <x:v>https://v.douyin.com/Vva749Cn4Fk/</x:v>
      </x:c>
    </x:row>
    <x:row r="37" ht="26" customHeight="1">
      <x:c r="A37" s="135" t="str">
        <x:v>游侠蹦蹦</x:v>
      </x:c>
      <x:c r="B37" s="139" t="n">
        <x:v>5000</x:v>
      </x:c>
      <x:c r="C37" s="139" t="n">
        <x:v>3000</x:v>
      </x:c>
      <x:c r="D37" s="131" t="str">
        <x:v>私单</x:v>
      </x:c>
      <x:c r="E37" s="139" t="n">
        <x:v>5000</x:v>
      </x:c>
      <x:c r="F37" s="140" t="n">
        <x:v>1</x:v>
      </x:c>
      <x:c r="G37" s="139" t="n">
        <x:f>E37*F37</x:f>
        <x:v>5000</x:v>
      </x:c>
      <x:c r="H37" s="143" t="n">
        <x:f>E37*80%*1000/30</x:f>
        <x:v>133333.33333333334</x:v>
      </x:c>
      <x:c r="I37" s="142" t="n">
        <x:f>E37/200*1000*1.5</x:f>
        <x:v>37500</x:v>
      </x:c>
      <x:c r="J37" s="143" t="n">
        <x:f>MAX(0,H37-I37)</x:f>
        <x:v>95833.33333333334</x:v>
      </x:c>
      <x:c r="K37" s="133" t="str">
        <x:v>普通千川</x:v>
      </x:c>
      <x:c r="L37" s="144" t="n">
        <x:v>25</x:v>
      </x:c>
      <x:c r="M37" s="144" t="n">
        <x:f>J37/10000*L37</x:f>
        <x:v>239.58333333333334</x:v>
      </x:c>
      <x:c r="N37" s="143" t="n">
        <x:f>ROUNDDOWN(200*MIN(1,MAX(0,T37-M37)/510),0)</x:f>
        <x:v>200</x:v>
      </x:c>
      <x:c r="O37" s="143" t="n">
        <x:f>ROUNDDOWN(15*MIN(1,MAX(0,T37-M37)/510),0)</x:f>
        <x:v>15</x:v>
      </x:c>
      <x:c r="P37" s="143" t="n">
        <x:f>ROUNDDOWN(300*MIN(1,MAX(0,T37-M37)/510),0)</x:f>
        <x:v>300</x:v>
      </x:c>
      <x:c r="Q37" s="143" t="n">
        <x:f>ROUNDDOWN(200*MIN(1,MAX(0,T37-M37)/510),0)</x:f>
        <x:v>200</x:v>
      </x:c>
      <x:c r="R37" s="147" t="n">
        <x:f>N37*0.8+O37*18+P37*0.2+Q37*0.1</x:f>
        <x:v>510</x:v>
      </x:c>
      <x:c r="S37" s="146" t="n">
        <x:f>M37+R37</x:f>
        <x:v>749.5833333333334</x:v>
      </x:c>
      <x:c r="T37" s="146" t="n">
        <x:f>G37*30%</x:f>
        <x:v>1500</x:v>
      </x:c>
      <x:c r="U37" s="148" t="n">
        <x:f>S37/G37</x:f>
        <x:v>0.14991666666666667</x:v>
      </x:c>
      <x:c r="V37" s="146" t="n">
        <x:f>T37-S37</x:f>
        <x:v>750.4166666666666</x:v>
      </x:c>
      <x:c r="W37" s="134" t="str">
        <x:f>IF(U37&lt;=30%,"合规","超预算")</x:f>
        <x:v>合规</x:v>
      </x:c>
      <x:c r="X37" s="138" t="str">
        <x:v>https://v.douyin.com/dO7_tPj7Mgo/</x:v>
      </x:c>
    </x:row>
    <x:row r="38" ht="26" customHeight="1">
      <x:c r="A38" s="135" t="str">
        <x:v>游侠蹦蹦</x:v>
      </x:c>
      <x:c r="B38" s="139" t="n">
        <x:v>5000</x:v>
      </x:c>
      <x:c r="C38" s="139" t="n">
        <x:v>3000</x:v>
      </x:c>
      <x:c r="D38" s="131" t="str">
        <x:v>平台单</x:v>
      </x:c>
      <x:c r="E38" s="139" t="n">
        <x:v>7000</x:v>
      </x:c>
      <x:c r="F38" s="140" t="n">
        <x:v>0.7</x:v>
      </x:c>
      <x:c r="G38" s="139" t="n">
        <x:f>E38*F38</x:f>
        <x:v>4900</x:v>
      </x:c>
      <x:c r="H38" s="143" t="n">
        <x:f>E38*80%*1000/30</x:f>
        <x:v>186666.66666666666</x:v>
      </x:c>
      <x:c r="I38" s="142" t="n">
        <x:f>E38/200*1000*1.5</x:f>
        <x:v>52500</x:v>
      </x:c>
      <x:c r="J38" s="143" t="n">
        <x:f>MAX(0,H38-I38)</x:f>
        <x:v>134166.66666666666</x:v>
      </x:c>
      <x:c r="K38" s="133" t="str">
        <x:v>千川无视版</x:v>
      </x:c>
      <x:c r="L38" s="144" t="n">
        <x:v>55</x:v>
      </x:c>
      <x:c r="M38" s="144" t="n">
        <x:f>J38/10000*L38</x:f>
        <x:v>737.9166666666666</x:v>
      </x:c>
      <x:c r="N38" s="143" t="n">
        <x:f>ROUNDDOWN(200*MIN(1,MAX(0,T38-M38)/510),0)</x:f>
        <x:v>200</x:v>
      </x:c>
      <x:c r="O38" s="143" t="n">
        <x:f>ROUNDDOWN(15*MIN(1,MAX(0,T38-M38)/510),0)</x:f>
        <x:v>15</x:v>
      </x:c>
      <x:c r="P38" s="143" t="n">
        <x:f>ROUNDDOWN(300*MIN(1,MAX(0,T38-M38)/510),0)</x:f>
        <x:v>300</x:v>
      </x:c>
      <x:c r="Q38" s="143" t="n">
        <x:f>ROUNDDOWN(200*MIN(1,MAX(0,T38-M38)/510),0)</x:f>
        <x:v>200</x:v>
      </x:c>
      <x:c r="R38" s="147" t="n">
        <x:f>N38*0.8+O38*18+P38*0.2+Q38*0.1</x:f>
        <x:v>510</x:v>
      </x:c>
      <x:c r="S38" s="146" t="n">
        <x:f>M38+R38</x:f>
        <x:v>1247.9166666666665</x:v>
      </x:c>
      <x:c r="T38" s="146" t="n">
        <x:f>G38*30%</x:f>
        <x:v>1470</x:v>
      </x:c>
      <x:c r="U38" s="148" t="n">
        <x:f>S38/G38</x:f>
        <x:v>0.2546768707482993</x:v>
      </x:c>
      <x:c r="V38" s="146" t="n">
        <x:f>T38-S38</x:f>
        <x:v>222.08333333333348</x:v>
      </x:c>
      <x:c r="W38" s="134" t="str">
        <x:f>IF(U38&lt;=30%,"合规","超预算")</x:f>
        <x:v>合规</x:v>
      </x:c>
      <x:c r="X38" s="138" t="str">
        <x:v>https://v.douyin.com/dO7_tPj7Mgo/</x:v>
      </x:c>
    </x:row>
    <x:row r="39" ht="26" customHeight="1">
      <x:c r="A39" s="130" t="str">
        <x:v>夏洛</x:v>
      </x:c>
      <x:c r="B39" s="139" t="n">
        <x:v>5000</x:v>
      </x:c>
      <x:c r="C39" s="139" t="n">
        <x:v>3000</x:v>
      </x:c>
      <x:c r="D39" s="131" t="str">
        <x:v>私单</x:v>
      </x:c>
      <x:c r="E39" s="139" t="n">
        <x:v>5000</x:v>
      </x:c>
      <x:c r="F39" s="140" t="n">
        <x:v>1</x:v>
      </x:c>
      <x:c r="G39" s="139" t="n">
        <x:f>E39*F39</x:f>
        <x:v>5000</x:v>
      </x:c>
      <x:c r="H39" s="141" t="n">
        <x:f>E39*80%*1000/30</x:f>
        <x:v>133333.33333333334</x:v>
      </x:c>
      <x:c r="I39" s="142" t="n">
        <x:f>E39/200*1000*1.5</x:f>
        <x:v>37500</x:v>
      </x:c>
      <x:c r="J39" s="141" t="n">
        <x:f>MAX(0,H39-I39)</x:f>
        <x:v>95833.33333333334</x:v>
      </x:c>
      <x:c r="K39" s="133" t="str">
        <x:v>普通千川</x:v>
      </x:c>
      <x:c r="L39" s="144" t="n">
        <x:v>25</x:v>
      </x:c>
      <x:c r="M39" s="144" t="n">
        <x:f>J39/10000*L39</x:f>
        <x:v>239.58333333333334</x:v>
      </x:c>
      <x:c r="N39" s="141" t="n">
        <x:f>ROUNDDOWN(200*MIN(1,MAX(0,T39-M39)/510),0)</x:f>
        <x:v>200</x:v>
      </x:c>
      <x:c r="O39" s="141" t="n">
        <x:f>ROUNDDOWN(15*MIN(1,MAX(0,T39-M39)/510),0)</x:f>
        <x:v>15</x:v>
      </x:c>
      <x:c r="P39" s="141" t="n">
        <x:f>ROUNDDOWN(300*MIN(1,MAX(0,T39-M39)/510),0)</x:f>
        <x:v>300</x:v>
      </x:c>
      <x:c r="Q39" s="141" t="n">
        <x:f>ROUNDDOWN(200*MIN(1,MAX(0,T39-M39)/510),0)</x:f>
        <x:v>200</x:v>
      </x:c>
      <x:c r="R39" s="145" t="n">
        <x:f>N39*0.8+O39*18+P39*0.2+Q39*0.1</x:f>
        <x:v>510</x:v>
      </x:c>
      <x:c r="S39" s="146" t="n">
        <x:f>M39+R39</x:f>
        <x:v>749.5833333333334</x:v>
      </x:c>
      <x:c r="T39" s="146" t="n">
        <x:f>G39*30%</x:f>
        <x:v>1500</x:v>
      </x:c>
      <x:c r="U39" s="148" t="n">
        <x:f>S39/G39</x:f>
        <x:v>0.14991666666666667</x:v>
      </x:c>
      <x:c r="V39" s="146" t="n">
        <x:f>T39-S39</x:f>
        <x:v>750.4166666666666</x:v>
      </x:c>
      <x:c r="W39" s="134" t="str">
        <x:f>IF(U39&lt;=30%,"合规","超预算")</x:f>
        <x:v>合规</x:v>
      </x:c>
      <x:c r="X39" s="137" t="str">
        <x:v>https://v.douyin.com/wq_9XvcbfS0/</x:v>
      </x:c>
    </x:row>
    <x:row r="40" ht="26" customHeight="1">
      <x:c r="A40" s="130" t="str">
        <x:v>夏洛</x:v>
      </x:c>
      <x:c r="B40" s="139" t="n">
        <x:v>5000</x:v>
      </x:c>
      <x:c r="C40" s="139" t="n">
        <x:v>3000</x:v>
      </x:c>
      <x:c r="D40" s="131" t="str">
        <x:v>平台单</x:v>
      </x:c>
      <x:c r="E40" s="139" t="n">
        <x:v>7000</x:v>
      </x:c>
      <x:c r="F40" s="140" t="n">
        <x:v>0.7</x:v>
      </x:c>
      <x:c r="G40" s="139" t="n">
        <x:f>E40*F40</x:f>
        <x:v>4900</x:v>
      </x:c>
      <x:c r="H40" s="141" t="n">
        <x:f>E40*80%*1000/30</x:f>
        <x:v>186666.66666666666</x:v>
      </x:c>
      <x:c r="I40" s="142" t="n">
        <x:f>E40/200*1000*1.5</x:f>
        <x:v>52500</x:v>
      </x:c>
      <x:c r="J40" s="141" t="n">
        <x:f>MAX(0,H40-I40)</x:f>
        <x:v>134166.66666666666</x:v>
      </x:c>
      <x:c r="K40" s="133" t="str">
        <x:v>千川无视版</x:v>
      </x:c>
      <x:c r="L40" s="144" t="n">
        <x:v>55</x:v>
      </x:c>
      <x:c r="M40" s="144" t="n">
        <x:f>J40/10000*L40</x:f>
        <x:v>737.9166666666666</x:v>
      </x:c>
      <x:c r="N40" s="141" t="n">
        <x:f>ROUNDDOWN(200*MIN(1,MAX(0,T40-M40)/510),0)</x:f>
        <x:v>200</x:v>
      </x:c>
      <x:c r="O40" s="141" t="n">
        <x:f>ROUNDDOWN(15*MIN(1,MAX(0,T40-M40)/510),0)</x:f>
        <x:v>15</x:v>
      </x:c>
      <x:c r="P40" s="141" t="n">
        <x:f>ROUNDDOWN(300*MIN(1,MAX(0,T40-M40)/510),0)</x:f>
        <x:v>300</x:v>
      </x:c>
      <x:c r="Q40" s="141" t="n">
        <x:f>ROUNDDOWN(200*MIN(1,MAX(0,T40-M40)/510),0)</x:f>
        <x:v>200</x:v>
      </x:c>
      <x:c r="R40" s="145" t="n">
        <x:f>N40*0.8+O40*18+P40*0.2+Q40*0.1</x:f>
        <x:v>510</x:v>
      </x:c>
      <x:c r="S40" s="146" t="n">
        <x:f>M40+R40</x:f>
        <x:v>1247.9166666666665</x:v>
      </x:c>
      <x:c r="T40" s="146" t="n">
        <x:f>G40*30%</x:f>
        <x:v>1470</x:v>
      </x:c>
      <x:c r="U40" s="148" t="n">
        <x:f>S40/G40</x:f>
        <x:v>0.2546768707482993</x:v>
      </x:c>
      <x:c r="V40" s="146" t="n">
        <x:f>T40-S40</x:f>
        <x:v>222.08333333333348</x:v>
      </x:c>
      <x:c r="W40" s="134" t="str">
        <x:f>IF(U40&lt;=30%,"合规","超预算")</x:f>
        <x:v>合规</x:v>
      </x:c>
      <x:c r="X40" s="137" t="str">
        <x:v>https://v.douyin.com/wq_9XvcbfS0/</x:v>
      </x:c>
    </x:row>
    <x:row r="41" ht="26" customHeight="1">
      <x:c r="A41" s="135" t="str">
        <x:v>畅玩百晓生</x:v>
      </x:c>
      <x:c r="B41" s="139" t="n">
        <x:v>5000</x:v>
      </x:c>
      <x:c r="C41" s="139" t="n">
        <x:v>3000</x:v>
      </x:c>
      <x:c r="D41" s="131" t="str">
        <x:v>私单</x:v>
      </x:c>
      <x:c r="E41" s="139" t="n">
        <x:v>5000</x:v>
      </x:c>
      <x:c r="F41" s="140" t="n">
        <x:v>1</x:v>
      </x:c>
      <x:c r="G41" s="139" t="n">
        <x:f>E41*F41</x:f>
        <x:v>5000</x:v>
      </x:c>
      <x:c r="H41" s="143" t="n">
        <x:f>E41*80%*1000/30</x:f>
        <x:v>133333.33333333334</x:v>
      </x:c>
      <x:c r="I41" s="142" t="n">
        <x:f>E41/200*1000*1.5</x:f>
        <x:v>37500</x:v>
      </x:c>
      <x:c r="J41" s="143" t="n">
        <x:f>MAX(0,H41-I41)</x:f>
        <x:v>95833.33333333334</x:v>
      </x:c>
      <x:c r="K41" s="133" t="str">
        <x:v>普通千川</x:v>
      </x:c>
      <x:c r="L41" s="144" t="n">
        <x:v>25</x:v>
      </x:c>
      <x:c r="M41" s="144" t="n">
        <x:f>J41/10000*L41</x:f>
        <x:v>239.58333333333334</x:v>
      </x:c>
      <x:c r="N41" s="143" t="n">
        <x:f>ROUNDDOWN(200*MIN(1,MAX(0,T41-M41)/510),0)</x:f>
        <x:v>200</x:v>
      </x:c>
      <x:c r="O41" s="143" t="n">
        <x:f>ROUNDDOWN(15*MIN(1,MAX(0,T41-M41)/510),0)</x:f>
        <x:v>15</x:v>
      </x:c>
      <x:c r="P41" s="143" t="n">
        <x:f>ROUNDDOWN(300*MIN(1,MAX(0,T41-M41)/510),0)</x:f>
        <x:v>300</x:v>
      </x:c>
      <x:c r="Q41" s="143" t="n">
        <x:f>ROUNDDOWN(200*MIN(1,MAX(0,T41-M41)/510),0)</x:f>
        <x:v>200</x:v>
      </x:c>
      <x:c r="R41" s="147" t="n">
        <x:f>N41*0.8+O41*18+P41*0.2+Q41*0.1</x:f>
        <x:v>510</x:v>
      </x:c>
      <x:c r="S41" s="146" t="n">
        <x:f>M41+R41</x:f>
        <x:v>749.5833333333334</x:v>
      </x:c>
      <x:c r="T41" s="146" t="n">
        <x:f>G41*30%</x:f>
        <x:v>1500</x:v>
      </x:c>
      <x:c r="U41" s="148" t="n">
        <x:f>S41/G41</x:f>
        <x:v>0.14991666666666667</x:v>
      </x:c>
      <x:c r="V41" s="146" t="n">
        <x:f>T41-S41</x:f>
        <x:v>750.4166666666666</x:v>
      </x:c>
      <x:c r="W41" s="134" t="str">
        <x:f>IF(U41&lt;=30%,"合规","超预算")</x:f>
        <x:v>合规</x:v>
      </x:c>
      <x:c r="X41" s="138" t="str">
        <x:v>https://v.douyin.com/jTTVNutNIRQ/</x:v>
      </x:c>
    </x:row>
    <x:row r="42" ht="26" customHeight="1">
      <x:c r="A42" s="135" t="str">
        <x:v>畅玩百晓生</x:v>
      </x:c>
      <x:c r="B42" s="139" t="n">
        <x:v>5000</x:v>
      </x:c>
      <x:c r="C42" s="139" t="n">
        <x:v>3000</x:v>
      </x:c>
      <x:c r="D42" s="131" t="str">
        <x:v>平台单</x:v>
      </x:c>
      <x:c r="E42" s="139" t="n">
        <x:v>7000</x:v>
      </x:c>
      <x:c r="F42" s="140" t="n">
        <x:v>0.7</x:v>
      </x:c>
      <x:c r="G42" s="139" t="n">
        <x:f>E42*F42</x:f>
        <x:v>4900</x:v>
      </x:c>
      <x:c r="H42" s="143" t="n">
        <x:f>E42*80%*1000/30</x:f>
        <x:v>186666.66666666666</x:v>
      </x:c>
      <x:c r="I42" s="142" t="n">
        <x:f>E42/200*1000*1.5</x:f>
        <x:v>52500</x:v>
      </x:c>
      <x:c r="J42" s="143" t="n">
        <x:f>MAX(0,H42-I42)</x:f>
        <x:v>134166.66666666666</x:v>
      </x:c>
      <x:c r="K42" s="133" t="str">
        <x:v>千川无视版</x:v>
      </x:c>
      <x:c r="L42" s="144" t="n">
        <x:v>55</x:v>
      </x:c>
      <x:c r="M42" s="144" t="n">
        <x:f>J42/10000*L42</x:f>
        <x:v>737.9166666666666</x:v>
      </x:c>
      <x:c r="N42" s="143" t="n">
        <x:f>ROUNDDOWN(200*MIN(1,MAX(0,T42-M42)/510),0)</x:f>
        <x:v>200</x:v>
      </x:c>
      <x:c r="O42" s="143" t="n">
        <x:f>ROUNDDOWN(15*MIN(1,MAX(0,T42-M42)/510),0)</x:f>
        <x:v>15</x:v>
      </x:c>
      <x:c r="P42" s="143" t="n">
        <x:f>ROUNDDOWN(300*MIN(1,MAX(0,T42-M42)/510),0)</x:f>
        <x:v>300</x:v>
      </x:c>
      <x:c r="Q42" s="143" t="n">
        <x:f>ROUNDDOWN(200*MIN(1,MAX(0,T42-M42)/510),0)</x:f>
        <x:v>200</x:v>
      </x:c>
      <x:c r="R42" s="147" t="n">
        <x:f>N42*0.8+O42*18+P42*0.2+Q42*0.1</x:f>
        <x:v>510</x:v>
      </x:c>
      <x:c r="S42" s="146" t="n">
        <x:f>M42+R42</x:f>
        <x:v>1247.9166666666665</x:v>
      </x:c>
      <x:c r="T42" s="146" t="n">
        <x:f>G42*30%</x:f>
        <x:v>1470</x:v>
      </x:c>
      <x:c r="U42" s="148" t="n">
        <x:f>S42/G42</x:f>
        <x:v>0.2546768707482993</x:v>
      </x:c>
      <x:c r="V42" s="146" t="n">
        <x:f>T42-S42</x:f>
        <x:v>222.08333333333348</x:v>
      </x:c>
      <x:c r="W42" s="134" t="str">
        <x:f>IF(U42&lt;=30%,"合规","超预算")</x:f>
        <x:v>合规</x:v>
      </x:c>
      <x:c r="X42" s="138" t="str">
        <x:v>https://v.douyin.com/jTTVNutNIRQ/</x:v>
      </x:c>
    </x:row>
    <x:row r="43" ht="26" customHeight="1">
      <x:c r="A43" s="130" t="str">
        <x:v>游戏永动机</x:v>
      </x:c>
      <x:c r="B43" s="139" t="n">
        <x:v>5000</x:v>
      </x:c>
      <x:c r="C43" s="139" t="n">
        <x:v>3000</x:v>
      </x:c>
      <x:c r="D43" s="131" t="str">
        <x:v>私单</x:v>
      </x:c>
      <x:c r="E43" s="139" t="n">
        <x:v>5000</x:v>
      </x:c>
      <x:c r="F43" s="140" t="n">
        <x:v>1</x:v>
      </x:c>
      <x:c r="G43" s="139" t="n">
        <x:f>E43*F43</x:f>
        <x:v>5000</x:v>
      </x:c>
      <x:c r="H43" s="141" t="n">
        <x:f>E43*80%*1000/30</x:f>
        <x:v>133333.33333333334</x:v>
      </x:c>
      <x:c r="I43" s="142" t="n">
        <x:f>E43/200*1000*1.5</x:f>
        <x:v>37500</x:v>
      </x:c>
      <x:c r="J43" s="141" t="n">
        <x:f>MAX(0,H43-I43)</x:f>
        <x:v>95833.33333333334</x:v>
      </x:c>
      <x:c r="K43" s="133" t="str">
        <x:v>普通千川</x:v>
      </x:c>
      <x:c r="L43" s="144" t="n">
        <x:v>25</x:v>
      </x:c>
      <x:c r="M43" s="144" t="n">
        <x:f>J43/10000*L43</x:f>
        <x:v>239.58333333333334</x:v>
      </x:c>
      <x:c r="N43" s="141" t="n">
        <x:f>ROUNDDOWN(200*MIN(1,MAX(0,T43-M43)/510),0)</x:f>
        <x:v>200</x:v>
      </x:c>
      <x:c r="O43" s="141" t="n">
        <x:f>ROUNDDOWN(15*MIN(1,MAX(0,T43-M43)/510),0)</x:f>
        <x:v>15</x:v>
      </x:c>
      <x:c r="P43" s="141" t="n">
        <x:f>ROUNDDOWN(300*MIN(1,MAX(0,T43-M43)/510),0)</x:f>
        <x:v>300</x:v>
      </x:c>
      <x:c r="Q43" s="141" t="n">
        <x:f>ROUNDDOWN(200*MIN(1,MAX(0,T43-M43)/510),0)</x:f>
        <x:v>200</x:v>
      </x:c>
      <x:c r="R43" s="145" t="n">
        <x:f>N43*0.8+O43*18+P43*0.2+Q43*0.1</x:f>
        <x:v>510</x:v>
      </x:c>
      <x:c r="S43" s="146" t="n">
        <x:f>M43+R43</x:f>
        <x:v>749.5833333333334</x:v>
      </x:c>
      <x:c r="T43" s="146" t="n">
        <x:f>G43*30%</x:f>
        <x:v>1500</x:v>
      </x:c>
      <x:c r="U43" s="148" t="n">
        <x:f>S43/G43</x:f>
        <x:v>0.14991666666666667</x:v>
      </x:c>
      <x:c r="V43" s="146" t="n">
        <x:f>T43-S43</x:f>
        <x:v>750.4166666666666</x:v>
      </x:c>
      <x:c r="W43" s="134" t="str">
        <x:f>IF(U43&lt;=30%,"合规","超预算")</x:f>
        <x:v>合规</x:v>
      </x:c>
      <x:c r="X43" s="137" t="str">
        <x:v>https://v.douyin.com/c2M4VXTdIvM/</x:v>
      </x:c>
    </x:row>
    <x:row r="44" ht="26" customHeight="1">
      <x:c r="A44" s="130" t="str">
        <x:v>游戏永动机</x:v>
      </x:c>
      <x:c r="B44" s="139" t="n">
        <x:v>5000</x:v>
      </x:c>
      <x:c r="C44" s="139" t="n">
        <x:v>3000</x:v>
      </x:c>
      <x:c r="D44" s="131" t="str">
        <x:v>平台单</x:v>
      </x:c>
      <x:c r="E44" s="139" t="n">
        <x:v>7000</x:v>
      </x:c>
      <x:c r="F44" s="140" t="n">
        <x:v>0.7</x:v>
      </x:c>
      <x:c r="G44" s="139" t="n">
        <x:f>E44*F44</x:f>
        <x:v>4900</x:v>
      </x:c>
      <x:c r="H44" s="141" t="n">
        <x:f>E44*80%*1000/30</x:f>
        <x:v>186666.66666666666</x:v>
      </x:c>
      <x:c r="I44" s="142" t="n">
        <x:f>E44/200*1000*1.5</x:f>
        <x:v>52500</x:v>
      </x:c>
      <x:c r="J44" s="141" t="n">
        <x:f>MAX(0,H44-I44)</x:f>
        <x:v>134166.66666666666</x:v>
      </x:c>
      <x:c r="K44" s="133" t="str">
        <x:v>千川无视版</x:v>
      </x:c>
      <x:c r="L44" s="144" t="n">
        <x:v>55</x:v>
      </x:c>
      <x:c r="M44" s="144" t="n">
        <x:f>J44/10000*L44</x:f>
        <x:v>737.9166666666666</x:v>
      </x:c>
      <x:c r="N44" s="141" t="n">
        <x:f>ROUNDDOWN(200*MIN(1,MAX(0,T44-M44)/510),0)</x:f>
        <x:v>200</x:v>
      </x:c>
      <x:c r="O44" s="141" t="n">
        <x:f>ROUNDDOWN(15*MIN(1,MAX(0,T44-M44)/510),0)</x:f>
        <x:v>15</x:v>
      </x:c>
      <x:c r="P44" s="141" t="n">
        <x:f>ROUNDDOWN(300*MIN(1,MAX(0,T44-M44)/510),0)</x:f>
        <x:v>300</x:v>
      </x:c>
      <x:c r="Q44" s="141" t="n">
        <x:f>ROUNDDOWN(200*MIN(1,MAX(0,T44-M44)/510),0)</x:f>
        <x:v>200</x:v>
      </x:c>
      <x:c r="R44" s="145" t="n">
        <x:f>N44*0.8+O44*18+P44*0.2+Q44*0.1</x:f>
        <x:v>510</x:v>
      </x:c>
      <x:c r="S44" s="146" t="n">
        <x:f>M44+R44</x:f>
        <x:v>1247.9166666666665</x:v>
      </x:c>
      <x:c r="T44" s="146" t="n">
        <x:f>G44*30%</x:f>
        <x:v>1470</x:v>
      </x:c>
      <x:c r="U44" s="148" t="n">
        <x:f>S44/G44</x:f>
        <x:v>0.2546768707482993</x:v>
      </x:c>
      <x:c r="V44" s="146" t="n">
        <x:f>T44-S44</x:f>
        <x:v>222.08333333333348</x:v>
      </x:c>
      <x:c r="W44" s="134" t="str">
        <x:f>IF(U44&lt;=30%,"合规","超预算")</x:f>
        <x:v>合规</x:v>
      </x:c>
      <x:c r="X44" s="137" t="str">
        <x:v>https://v.douyin.com/c2M4VXTdIvM/</x:v>
      </x:c>
    </x:row>
    <x:row r="45" ht="26" customHeight="1">
      <x:c r="A45" s="135" t="str">
        <x:v>皮皮说游戏</x:v>
      </x:c>
      <x:c r="B45" s="139" t="n">
        <x:v>5500</x:v>
      </x:c>
      <x:c r="C45" s="139" t="n">
        <x:v>3300</x:v>
      </x:c>
      <x:c r="D45" s="131" t="str">
        <x:v>私单</x:v>
      </x:c>
      <x:c r="E45" s="139" t="n">
        <x:v>5500</x:v>
      </x:c>
      <x:c r="F45" s="140" t="n">
        <x:v>1</x:v>
      </x:c>
      <x:c r="G45" s="139" t="n">
        <x:f>E45*F45</x:f>
        <x:v>5500</x:v>
      </x:c>
      <x:c r="H45" s="143" t="n">
        <x:f>E45*80%*1000/30</x:f>
        <x:v>146666.66666666666</x:v>
      </x:c>
      <x:c r="I45" s="142" t="n">
        <x:f>E45/200*1000*1.5</x:f>
        <x:v>41250</x:v>
      </x:c>
      <x:c r="J45" s="143" t="n">
        <x:f>MAX(0,H45-I45)</x:f>
        <x:v>105416.66666666666</x:v>
      </x:c>
      <x:c r="K45" s="133" t="str">
        <x:v>普通千川</x:v>
      </x:c>
      <x:c r="L45" s="144" t="n">
        <x:v>25</x:v>
      </x:c>
      <x:c r="M45" s="144" t="n">
        <x:f>J45/10000*L45</x:f>
        <x:v>263.54166666666663</x:v>
      </x:c>
      <x:c r="N45" s="143" t="n">
        <x:f>ROUNDDOWN(200*MIN(1,MAX(0,T45-M45)/510),0)</x:f>
        <x:v>200</x:v>
      </x:c>
      <x:c r="O45" s="143" t="n">
        <x:f>ROUNDDOWN(15*MIN(1,MAX(0,T45-M45)/510),0)</x:f>
        <x:v>15</x:v>
      </x:c>
      <x:c r="P45" s="143" t="n">
        <x:f>ROUNDDOWN(300*MIN(1,MAX(0,T45-M45)/510),0)</x:f>
        <x:v>300</x:v>
      </x:c>
      <x:c r="Q45" s="143" t="n">
        <x:f>ROUNDDOWN(200*MIN(1,MAX(0,T45-M45)/510),0)</x:f>
        <x:v>200</x:v>
      </x:c>
      <x:c r="R45" s="147" t="n">
        <x:f>N45*0.8+O45*18+P45*0.2+Q45*0.1</x:f>
        <x:v>510</x:v>
      </x:c>
      <x:c r="S45" s="146" t="n">
        <x:f>M45+R45</x:f>
        <x:v>773.5416666666666</x:v>
      </x:c>
      <x:c r="T45" s="146" t="n">
        <x:f>G45*30%</x:f>
        <x:v>1650</x:v>
      </x:c>
      <x:c r="U45" s="148" t="n">
        <x:f>S45/G45</x:f>
        <x:v>0.14064393939393938</x:v>
      </x:c>
      <x:c r="V45" s="146" t="n">
        <x:f>T45-S45</x:f>
        <x:v>876.4583333333334</x:v>
      </x:c>
      <x:c r="W45" s="134" t="str">
        <x:f>IF(U45&lt;=30%,"合规","超预算")</x:f>
        <x:v>合规</x:v>
      </x:c>
      <x:c r="X45" s="138" t="str">
        <x:v>https://v.douyin.com/iSUabqnS/</x:v>
      </x:c>
    </x:row>
    <x:row r="46" ht="26" customHeight="1">
      <x:c r="A46" s="135" t="str">
        <x:v>皮皮说游戏</x:v>
      </x:c>
      <x:c r="B46" s="139" t="n">
        <x:v>5500</x:v>
      </x:c>
      <x:c r="C46" s="139" t="n">
        <x:v>3300</x:v>
      </x:c>
      <x:c r="D46" s="131" t="str">
        <x:v>平台单</x:v>
      </x:c>
      <x:c r="E46" s="139" t="n">
        <x:v>7000</x:v>
      </x:c>
      <x:c r="F46" s="140" t="n">
        <x:v>0.7</x:v>
      </x:c>
      <x:c r="G46" s="139" t="n">
        <x:f>E46*F46</x:f>
        <x:v>4900</x:v>
      </x:c>
      <x:c r="H46" s="143" t="n">
        <x:f>E46*80%*1000/30</x:f>
        <x:v>186666.66666666666</x:v>
      </x:c>
      <x:c r="I46" s="142" t="n">
        <x:f>E46/200*1000*1.5</x:f>
        <x:v>52500</x:v>
      </x:c>
      <x:c r="J46" s="143" t="n">
        <x:f>MAX(0,H46-I46)</x:f>
        <x:v>134166.66666666666</x:v>
      </x:c>
      <x:c r="K46" s="133" t="str">
        <x:v>千川无视版</x:v>
      </x:c>
      <x:c r="L46" s="144" t="n">
        <x:v>55</x:v>
      </x:c>
      <x:c r="M46" s="144" t="n">
        <x:f>J46/10000*L46</x:f>
        <x:v>737.9166666666666</x:v>
      </x:c>
      <x:c r="N46" s="143" t="n">
        <x:f>ROUNDDOWN(200*MIN(1,MAX(0,T46-M46)/510),0)</x:f>
        <x:v>200</x:v>
      </x:c>
      <x:c r="O46" s="143" t="n">
        <x:f>ROUNDDOWN(15*MIN(1,MAX(0,T46-M46)/510),0)</x:f>
        <x:v>15</x:v>
      </x:c>
      <x:c r="P46" s="143" t="n">
        <x:f>ROUNDDOWN(300*MIN(1,MAX(0,T46-M46)/510),0)</x:f>
        <x:v>300</x:v>
      </x:c>
      <x:c r="Q46" s="143" t="n">
        <x:f>ROUNDDOWN(200*MIN(1,MAX(0,T46-M46)/510),0)</x:f>
        <x:v>200</x:v>
      </x:c>
      <x:c r="R46" s="147" t="n">
        <x:f>N46*0.8+O46*18+P46*0.2+Q46*0.1</x:f>
        <x:v>510</x:v>
      </x:c>
      <x:c r="S46" s="146" t="n">
        <x:f>M46+R46</x:f>
        <x:v>1247.9166666666665</x:v>
      </x:c>
      <x:c r="T46" s="146" t="n">
        <x:f>G46*30%</x:f>
        <x:v>1470</x:v>
      </x:c>
      <x:c r="U46" s="148" t="n">
        <x:f>S46/G46</x:f>
        <x:v>0.2546768707482993</x:v>
      </x:c>
      <x:c r="V46" s="146" t="n">
        <x:f>T46-S46</x:f>
        <x:v>222.08333333333348</x:v>
      </x:c>
      <x:c r="W46" s="134" t="str">
        <x:f>IF(U46&lt;=30%,"合规","超预算")</x:f>
        <x:v>合规</x:v>
      </x:c>
      <x:c r="X46" s="138" t="str">
        <x:v>https://v.douyin.com/iSUabqnS/</x:v>
      </x:c>
    </x:row>
  </x:sheetData>
  <x:mergeCells>
    <x:mergeCell ref="A1:X1"/>
    <x:mergeCell ref="A2:X2"/>
    <x:mergeCell ref="A3:X3"/>
    <x:mergeCell ref="A4:X4"/>
  </x:mergeCells>
  <x:pageMargins left="0.7" right="0.7" top="0.75" bottom="0.75" header="0.3" footer="0.3"/>
</x:worksheet>
</file>