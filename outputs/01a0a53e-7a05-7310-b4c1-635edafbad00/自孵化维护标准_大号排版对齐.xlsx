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20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<sst xmlns="http://schemas.openxmlformats.org/spreadsheetml/2006/main" count="515" uniqueCount="140">
  <si>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</si>
  <si>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</si>
  <si>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</si>
  <si>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</si>
  <si>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</si>
  <si>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</si>
  <si>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</si>
  <si>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</si>
  <si>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</si>
  <si>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</si>
  <si>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</si>
  <si>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</si>
  <si>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负责人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</si>
  <si>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</si>
  <si>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</si>
  <si>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</si>
  <si>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</si>
  <si>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</si>
  <si>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</si>
  <si>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</si>
  <si>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</si>
  <si>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</si>
  <si>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</si>
  <si>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</si>
  <si>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</si>
  <si>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</si>
  <si>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</si>
  <si>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</si>
  <si>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</si>
  <si>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</si>
  <si>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</si>
  <si>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</si>
  <si>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</si>
  <si>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</si>
  <si>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</si>
  <si>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</si>
  <si>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薛荐轩</t>
  </si>
  <si>
    <t>/</t>
  </si>
  <si>
    <t>私单</t>
  </si>
  <si>
    <t>普通千川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</si>
  <si>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</si>
  <si>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</si>
  <si>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平台单</t>
  </si>
  <si>
    <t>千川无视版</t>
  </si>
  <si>
    <t>花满楼</t>
  </si>
  <si>
    <t>陈健伊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</si>
  <si>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</si>
  <si>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</si>
  <si>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</si>
  <si>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</si>
  <si>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</si>
  <si>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t>刘登魁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</si>
  <si>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</si>
  <si>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</si>
  <si>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杨鸿霆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</si>
  <si>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</si>
  <si>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</si>
  <si>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</si>
  <si>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</si>
  <si>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</si>
  <si>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</si>
  <si>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</si>
  <si>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</si>
  <si>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</si>
  <si>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商光涵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</si>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</sst>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name val="等线"/>
      <charset val="134"/>
      <scheme val="minor"/>
    </font>
    <font>
      <sz val="10"/>
      <name val="等线"/>
      <charset val="134"/>
      <scheme val="minor"/>
    </font>
    <font>
      <b/>
      <sz val="16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等线"/>
      <charset val="134"/>
    </font>
    <font>
      <u/>
      <sz val="10"/>
      <color rgb="FF267EF0"/>
      <name val="Helvetica Neue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抖音大号维护标准"/>
  <dimension ref="A1:AW76"/>
  <sheetViews>
    <sheetView tabSelected="1" workbookViewId="0">
      <selection activeCell="G3" sqref="G3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5" width="19.1923076923077" style="28" customWidth="1"/>
    <col min="26" max="36" width="13.6730769230769" style="28"/>
  </cols>
  <sheetData>
    <row r="1" ht="43.5" customHeight="1" spans="1:2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79.5" customHeight="1" spans="1:21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s="28" customFormat="1" ht="64" customHeight="1" spans="1:21">
      <c r="A3" s="1" t="s">
        <v>2</v>
      </c>
    </row>
    <row r="4" s="28" customFormat="1" ht="25" customHeight="1" spans="1:21">
      <c r="A4" s="2" t="s">
        <v>3</v>
      </c>
    </row>
    <row r="5" s="28" customFormat="1" ht="25" customHeight="1" spans="1:21">
      <c r="A5" s="2"/>
    </row>
    <row r="6" s="28" customFormat="1" ht="25" customHeight="1" spans="1:21">
      <c r="A6" s="2" t="s">
        <v>4</v>
      </c>
    </row>
    <row r="7" s="28" customFormat="1" ht="25" customHeight="1" spans="1:21">
      <c r="A7" s="2"/>
    </row>
    <row r="8" s="28" customFormat="1" ht="25" customHeight="1" spans="1:21">
      <c r="A8" s="2" t="s">
        <v>5</v>
      </c>
    </row>
    <row r="9" s="28" customFormat="1" ht="25" customHeight="1" spans="1:21">
      <c r="A9" s="2"/>
    </row>
    <row r="10" s="28" customFormat="1" ht="25" customHeight="1" spans="1:21">
      <c r="A10" s="2" t="s">
        <v>6</v>
      </c>
    </row>
    <row r="11" s="28" customFormat="1" ht="25" customHeight="1" spans="1:21">
      <c r="A11" s="2"/>
    </row>
    <row r="12" s="28" customFormat="1" ht="25" customHeight="1" spans="1:21">
      <c r="A12" s="2" t="s">
        <v>7</v>
      </c>
    </row>
    <row r="13" s="28" customFormat="1" ht="25" customHeight="1" spans="1:21">
      <c r="A13" s="2"/>
    </row>
    <row r="14" s="28" customFormat="1" ht="25" customHeight="1" spans="1:21">
      <c r="A14" s="2" t="s">
        <v>8</v>
      </c>
    </row>
    <row r="15" s="28" customFormat="1" ht="25" customHeight="1" spans="1:21">
      <c r="A15" s="2"/>
    </row>
    <row r="16" s="28" customFormat="1" ht="25" customHeight="1" spans="1:21">
      <c r="A16" s="2" t="s">
        <v>9</v>
      </c>
    </row>
    <row r="17" s="28" customFormat="1" ht="25" customHeight="1" spans="1:44">
      <c r="A17" s="2"/>
    </row>
    <row r="21" ht="15.2"/>
    <row r="22" ht="52.5" customHeight="1" spans="1:44">
      <c r="A22" s="34" t="s">
        <v>10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Z22" s="34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6"/>
      <c r="AL22" s="36"/>
      <c r="AM22" s="36"/>
      <c r="AN22" s="36"/>
      <c r="AO22" s="36"/>
      <c r="AP22" s="36"/>
      <c r="AQ22" s="36"/>
      <c r="AR22" s="36"/>
    </row>
    <row r="23" ht="66.75" customHeight="1" spans="1:44">
      <c r="A23" s="7" t="s">
        <v>11</v>
      </c>
      <c r="Z23"/>
      <c r="AA23"/>
      <c r="AB23"/>
      <c r="AC23"/>
      <c r="AD23"/>
      <c r="AE23"/>
      <c r="AF23"/>
      <c r="AG23"/>
      <c r="AH23"/>
      <c r="AI23"/>
      <c r="AJ23"/>
    </row>
    <row r="24" ht="46" spans="1:44">
      <c r="A24" s="8" t="s">
        <v>2</v>
      </c>
      <c r="B24" s="8" t="s">
        <v>12</v>
      </c>
      <c r="C24" s="9" t="s">
        <v>13</v>
      </c>
      <c r="D24" s="9" t="s">
        <v>14</v>
      </c>
      <c r="E24" s="10" t="s">
        <v>15</v>
      </c>
      <c r="F24" s="10" t="s">
        <v>16</v>
      </c>
      <c r="G24" s="8" t="s">
        <v>17</v>
      </c>
      <c r="H24" s="11" t="s">
        <v>18</v>
      </c>
      <c r="I24" s="12" t="s">
        <v>19</v>
      </c>
      <c r="J24" s="8" t="s">
        <v>20</v>
      </c>
      <c r="K24" s="13" t="s">
        <v>21</v>
      </c>
      <c r="L24" s="13" t="s">
        <v>22</v>
      </c>
      <c r="M24" s="8" t="s">
        <v>23</v>
      </c>
      <c r="N24" s="8" t="s">
        <v>24</v>
      </c>
      <c r="O24" s="8" t="s">
        <v>25</v>
      </c>
      <c r="P24" s="8" t="s">
        <v>26</v>
      </c>
      <c r="Q24" s="8" t="s">
        <v>27</v>
      </c>
      <c r="R24" s="8" t="s">
        <v>28</v>
      </c>
      <c r="S24" s="13" t="s">
        <v>29</v>
      </c>
      <c r="T24" s="13" t="s">
        <v>30</v>
      </c>
      <c r="U24" s="13" t="s">
        <v>31</v>
      </c>
      <c r="V24" s="13" t="s">
        <v>32</v>
      </c>
      <c r="W24" s="8" t="s">
        <v>33</v>
      </c>
      <c r="X24" s="8" t="s">
        <v>34</v>
      </c>
    </row>
    <row r="25" ht="15.2" spans="1:44">
      <c r="A25" s="3" t="s">
        <v>35</v>
      </c>
      <c r="B25" s="3" t="s">
        <v>36</v>
      </c>
      <c r="C25" s="9">
        <v>10500</v>
      </c>
      <c r="D25" s="9">
        <f>C25*0.6</f>
        <v>6300</v>
      </c>
      <c r="E25" s="14" t="s">
        <v>37</v>
      </c>
      <c r="F25" s="14" t="s">
        <v>37</v>
      </c>
      <c r="G25" s="3" t="s">
        <v>38</v>
      </c>
      <c r="H25" s="9">
        <f>(D25)*(1)</f>
        <v>6300</v>
      </c>
      <c r="I25" s="15">
        <f>ROUNDUP(C25*维护参数!$B$11/维护参数!$B$12*1000,0)</f>
        <v>280000</v>
      </c>
      <c r="J25" s="3" t="s">
        <v>39</v>
      </c>
      <c r="K25" s="16">
        <f>(MAX(维护参数!$B$4,ROUNDUP(I25/10000,0)))*(维护参数!$B$2)</f>
        <v>588</v>
      </c>
      <c r="L25" s="17">
        <f>ROUNDUP(C25*维护参数!$B$16/维护参数!$B$15/1000,0)*1000</f>
        <v>21000</v>
      </c>
      <c r="M25" s="17">
        <f>ROUNDUP(C25*维护参数!$B$17/维护参数!$B$15/10,0)*10</f>
        <v>210</v>
      </c>
      <c r="N25" s="17">
        <f>ROUNDUP(C25*维护参数!$B$18/维护参数!$B$15/10,0)*10</f>
        <v>210</v>
      </c>
      <c r="O25" s="17">
        <f>ROUNDUP(C25*维护参数!$B$19/维护参数!$B$15/10,0)*10</f>
        <v>320</v>
      </c>
      <c r="P25" s="16">
        <f>L25/1000*维护参数!$B$6+M25*维护参数!$B$7+N25*维护参数!$B$8+O25*维护参数!$B$9</f>
        <v>1513</v>
      </c>
      <c r="Q25" s="16">
        <f>SUM(K25,P25)</f>
        <v>2101</v>
      </c>
      <c r="R25" s="18">
        <f t="shared" ref="R25:R68" si="0">Q25/H25</f>
        <v>0.333492063492064</v>
      </c>
      <c r="S25" s="16">
        <f t="shared" ref="S25:S68" si="1">H25-Q25</f>
        <v>4199</v>
      </c>
      <c r="T25" s="18">
        <f>S25/(C25)</f>
        <v>0.399904761904762</v>
      </c>
      <c r="U25" s="16">
        <f>S25*维护参数!$B$20</f>
        <v>2729.35</v>
      </c>
      <c r="V25" s="18">
        <f>U25/(C25)</f>
        <v>0.259938095238095</v>
      </c>
      <c r="W25" s="19" t="s">
        <v>40</v>
      </c>
      <c r="X25" s="37" t="s">
        <v>41</v>
      </c>
    </row>
    <row r="26" ht="15.2" spans="1:44">
      <c r="A26" s="3"/>
      <c r="B26" s="3"/>
      <c r="C26" s="20"/>
      <c r="D26" s="20"/>
      <c r="E26" s="20"/>
      <c r="F26" s="20"/>
      <c r="G26" s="3" t="s">
        <v>42</v>
      </c>
      <c r="H26" s="9">
        <f>(C25)*(维护参数!$B$10)</f>
        <v>7350</v>
      </c>
      <c r="I26" s="21"/>
      <c r="J26" s="3" t="s">
        <v>43</v>
      </c>
      <c r="K26" s="16">
        <f>(MAX(维护参数!$B$5,ROUNDUP(I25/10000,0)))*(维护参数!$B$3)</f>
        <v>1540</v>
      </c>
      <c r="L26" s="21"/>
      <c r="M26" s="21"/>
      <c r="N26" s="21"/>
      <c r="O26" s="21"/>
      <c r="P26" s="22"/>
      <c r="Q26" s="16">
        <f>SUM(K26,P25)</f>
        <v>3053</v>
      </c>
      <c r="R26" s="18">
        <f t="shared" si="0"/>
        <v>0.415374149659864</v>
      </c>
      <c r="S26" s="16">
        <f t="shared" si="1"/>
        <v>4297</v>
      </c>
      <c r="T26" s="18">
        <f>S26/(C25)</f>
        <v>0.409238095238095</v>
      </c>
      <c r="U26" s="16">
        <f>S26*维护参数!$B$20</f>
        <v>2793.05</v>
      </c>
      <c r="V26" s="18">
        <f>U26/(C25)</f>
        <v>0.266004761904762</v>
      </c>
      <c r="W26" s="19"/>
      <c r="X26" s="23"/>
    </row>
    <row r="27" ht="15.2" spans="1:44">
      <c r="A27" s="3" t="s">
        <v>44</v>
      </c>
      <c r="B27" s="3" t="s">
        <v>45</v>
      </c>
      <c r="C27" s="9">
        <v>11700</v>
      </c>
      <c r="D27" s="9">
        <f>C27*0.6</f>
        <v>7020</v>
      </c>
      <c r="E27" s="14" t="s">
        <v>37</v>
      </c>
      <c r="F27" s="14" t="s">
        <v>37</v>
      </c>
      <c r="G27" s="3" t="s">
        <v>38</v>
      </c>
      <c r="H27" s="9">
        <f>(D27)*(1)</f>
        <v>7020</v>
      </c>
      <c r="I27" s="15">
        <f>ROUNDUP(C27*维护参数!$B$11/维护参数!$B$12*1000,0)</f>
        <v>312000</v>
      </c>
      <c r="J27" s="3" t="s">
        <v>39</v>
      </c>
      <c r="K27" s="16">
        <f>(MAX(维护参数!$B$4,ROUNDUP(I27/10000,0)))*(维护参数!$B$2)</f>
        <v>672</v>
      </c>
      <c r="L27" s="17">
        <f>ROUNDUP(C27*维护参数!$B$16/维护参数!$B$15/1000,0)*1000</f>
        <v>24000</v>
      </c>
      <c r="M27" s="17">
        <f>ROUNDUP(C27*维护参数!$B$17/维护参数!$B$15/10,0)*10</f>
        <v>240</v>
      </c>
      <c r="N27" s="17">
        <f>ROUNDUP(C27*维护参数!$B$18/维护参数!$B$15/10,0)*10</f>
        <v>240</v>
      </c>
      <c r="O27" s="17">
        <f>ROUNDUP(C27*维护参数!$B$19/维护参数!$B$15/10,0)*10</f>
        <v>360</v>
      </c>
      <c r="P27" s="16">
        <f>L27/1000*维护参数!$B$6+M27*维护参数!$B$7+N27*维护参数!$B$8+O27*维护参数!$B$9</f>
        <v>1728</v>
      </c>
      <c r="Q27" s="16">
        <f>SUM(K27,P27)</f>
        <v>2400</v>
      </c>
      <c r="R27" s="18">
        <f t="shared" si="0"/>
        <v>0.341880341880342</v>
      </c>
      <c r="S27" s="16">
        <f t="shared" si="1"/>
        <v>4620</v>
      </c>
      <c r="T27" s="18">
        <f>S27/(C27)</f>
        <v>0.394871794871795</v>
      </c>
      <c r="U27" s="16">
        <f>S27*维护参数!$B$20</f>
        <v>3003</v>
      </c>
      <c r="V27" s="18">
        <f>U27/(C27)</f>
        <v>0.256666666666667</v>
      </c>
      <c r="W27" s="24" t="s">
        <v>46</v>
      </c>
      <c r="X27" s="5" t="s">
        <v>47</v>
      </c>
    </row>
    <row r="28" ht="15.2" spans="1:44">
      <c r="A28" s="3"/>
      <c r="B28" s="3"/>
      <c r="C28" s="20"/>
      <c r="D28" s="20"/>
      <c r="E28" s="20"/>
      <c r="F28" s="20"/>
      <c r="G28" s="3" t="s">
        <v>42</v>
      </c>
      <c r="H28" s="9">
        <f>(C27)*(维护参数!$B$10)</f>
        <v>8190</v>
      </c>
      <c r="I28" s="21"/>
      <c r="J28" s="3" t="s">
        <v>43</v>
      </c>
      <c r="K28" s="16">
        <f>(MAX(维护参数!$B$5,ROUNDUP(I27/10000,0)))*(维护参数!$B$3)</f>
        <v>1760</v>
      </c>
      <c r="L28" s="21"/>
      <c r="M28" s="21"/>
      <c r="N28" s="21"/>
      <c r="O28" s="21"/>
      <c r="P28" s="22"/>
      <c r="Q28" s="16">
        <f>SUM(K28,P27)</f>
        <v>3488</v>
      </c>
      <c r="R28" s="18">
        <f t="shared" si="0"/>
        <v>0.425885225885226</v>
      </c>
      <c r="S28" s="16">
        <f t="shared" si="1"/>
        <v>4702</v>
      </c>
      <c r="T28" s="18">
        <f>S28/(C27)</f>
        <v>0.401880341880342</v>
      </c>
      <c r="U28" s="16">
        <f>S28*维护参数!$B$20</f>
        <v>3056.3</v>
      </c>
      <c r="V28" s="18">
        <f>U28/(C27)</f>
        <v>0.261222222222222</v>
      </c>
      <c r="W28" s="3"/>
      <c r="X28" s="3"/>
    </row>
    <row r="29" ht="15.2" spans="1:44">
      <c r="A29" s="3" t="s">
        <v>48</v>
      </c>
      <c r="B29" s="3" t="s">
        <v>45</v>
      </c>
      <c r="C29" s="9">
        <v>6000</v>
      </c>
      <c r="D29" s="9">
        <f>C29*0.6</f>
        <v>3600</v>
      </c>
      <c r="E29" s="26">
        <v>9000</v>
      </c>
      <c r="F29" s="26">
        <f>E29*0.6</f>
        <v>5400</v>
      </c>
      <c r="G29" s="3" t="s">
        <v>38</v>
      </c>
      <c r="H29" s="9">
        <f>(D29)*(1)</f>
        <v>3600</v>
      </c>
      <c r="I29" s="15">
        <f>ROUNDUP(C29*维护参数!$B$11/维护参数!$B$12*1000,0)</f>
        <v>160000</v>
      </c>
      <c r="J29" s="3" t="s">
        <v>39</v>
      </c>
      <c r="K29" s="16">
        <f>(MAX(维护参数!$B$4,ROUNDUP(I29/10000,0)))*(维护参数!$B$2)</f>
        <v>336</v>
      </c>
      <c r="L29" s="17">
        <f>ROUNDUP(C29*维护参数!$B$16/维护参数!$B$15/1000,0)*1000</f>
        <v>12000</v>
      </c>
      <c r="M29" s="17">
        <f>ROUNDUP(C29*维护参数!$B$17/维护参数!$B$15/10,0)*10</f>
        <v>120</v>
      </c>
      <c r="N29" s="17">
        <f>ROUNDUP(C29*维护参数!$B$18/维护参数!$B$15/10,0)*10</f>
        <v>120</v>
      </c>
      <c r="O29" s="17">
        <f>ROUNDUP(C29*维护参数!$B$19/维护参数!$B$15/10,0)*10</f>
        <v>180</v>
      </c>
      <c r="P29" s="16">
        <f>L29/1000*维护参数!$B$6+M29*维护参数!$B$7+N29*维护参数!$B$8+O29*维护参数!$B$9</f>
        <v>864</v>
      </c>
      <c r="Q29" s="16">
        <f>SUM(K29,P29)</f>
        <v>1200</v>
      </c>
      <c r="R29" s="18">
        <f t="shared" si="0"/>
        <v>0.333333333333333</v>
      </c>
      <c r="S29" s="16">
        <f t="shared" si="1"/>
        <v>2400</v>
      </c>
      <c r="T29" s="18">
        <f>S29/(C29)</f>
        <v>0.4</v>
      </c>
      <c r="U29" s="16">
        <f>S29*维护参数!$B$20</f>
        <v>1560</v>
      </c>
      <c r="V29" s="18">
        <f>U29/(C29)</f>
        <v>0.26</v>
      </c>
      <c r="W29" s="3"/>
      <c r="X29" s="3" t="s">
        <v>49</v>
      </c>
    </row>
    <row r="30" ht="15.2" spans="1:44">
      <c r="A30" s="3"/>
      <c r="B30" s="3"/>
      <c r="C30" s="20"/>
      <c r="D30" s="20"/>
      <c r="E30" s="20"/>
      <c r="F30" s="20"/>
      <c r="G30" s="3" t="s">
        <v>42</v>
      </c>
      <c r="H30" s="9">
        <f>(C29)*(维护参数!$B$10)</f>
        <v>4200</v>
      </c>
      <c r="I30" s="21"/>
      <c r="J30" s="3" t="s">
        <v>43</v>
      </c>
      <c r="K30" s="16">
        <f>(MAX(维护参数!$B$5,ROUNDUP(I29/10000,0)))*(维护参数!$B$3)</f>
        <v>880</v>
      </c>
      <c r="L30" s="21"/>
      <c r="M30" s="21"/>
      <c r="N30" s="21"/>
      <c r="O30" s="21"/>
      <c r="P30" s="22"/>
      <c r="Q30" s="16">
        <f>SUM(K30,P29)</f>
        <v>1744</v>
      </c>
      <c r="R30" s="18">
        <f t="shared" si="0"/>
        <v>0.415238095238095</v>
      </c>
      <c r="S30" s="16">
        <f t="shared" si="1"/>
        <v>2456</v>
      </c>
      <c r="T30" s="18">
        <f>S30/(C29)</f>
        <v>0.409333333333333</v>
      </c>
      <c r="U30" s="16">
        <f>S30*维护参数!$B$20</f>
        <v>1596.4</v>
      </c>
      <c r="V30" s="18">
        <f>U30/(C29)</f>
        <v>0.266066666666667</v>
      </c>
      <c r="W30" s="3"/>
      <c r="X30" s="3"/>
    </row>
    <row r="31" ht="15.2" spans="1:44">
      <c r="A31" s="3" t="s">
        <v>50</v>
      </c>
      <c r="B31" s="3" t="s">
        <v>51</v>
      </c>
      <c r="C31" s="9">
        <v>6250</v>
      </c>
      <c r="D31" s="9">
        <f>C31*0.6</f>
        <v>3750</v>
      </c>
      <c r="E31" s="26">
        <v>7000</v>
      </c>
      <c r="F31" s="26">
        <f>E31*0.6</f>
        <v>4200</v>
      </c>
      <c r="G31" s="3" t="s">
        <v>38</v>
      </c>
      <c r="H31" s="9">
        <f>(D31)*(1)</f>
        <v>3750</v>
      </c>
      <c r="I31" s="15">
        <f>ROUNDUP(C31*维护参数!$B$11/维护参数!$B$12*1000,0)</f>
        <v>166667</v>
      </c>
      <c r="J31" s="3" t="s">
        <v>39</v>
      </c>
      <c r="K31" s="16">
        <f>(MAX(维护参数!$B$4,ROUNDUP(I31/10000,0)))*(维护参数!$B$2)</f>
        <v>357</v>
      </c>
      <c r="L31" s="17">
        <f>ROUNDUP(C31*维护参数!$B$16/维护参数!$B$15/1000,0)*1000</f>
        <v>13000</v>
      </c>
      <c r="M31" s="17">
        <f>ROUNDUP(C31*维护参数!$B$17/维护参数!$B$15/10,0)*10</f>
        <v>130</v>
      </c>
      <c r="N31" s="17">
        <f>ROUNDUP(C31*维护参数!$B$18/维护参数!$B$15/10,0)*10</f>
        <v>130</v>
      </c>
      <c r="O31" s="17">
        <f>ROUNDUP(C31*维护参数!$B$19/维护参数!$B$15/10,0)*10</f>
        <v>190</v>
      </c>
      <c r="P31" s="16">
        <f>L31/1000*维护参数!$B$6+M31*维护参数!$B$7+N31*维护参数!$B$8+O31*维护参数!$B$9</f>
        <v>935</v>
      </c>
      <c r="Q31" s="16">
        <f>SUM(K31,P31)</f>
        <v>1292</v>
      </c>
      <c r="R31" s="18">
        <f t="shared" si="0"/>
        <v>0.344533333333333</v>
      </c>
      <c r="S31" s="16">
        <f t="shared" si="1"/>
        <v>2458</v>
      </c>
      <c r="T31" s="18">
        <f>S31/(C31)</f>
        <v>0.39328</v>
      </c>
      <c r="U31" s="16">
        <f>S31*维护参数!$B$20</f>
        <v>1597.7</v>
      </c>
      <c r="V31" s="18">
        <f>U31/(C31)</f>
        <v>0.255632</v>
      </c>
      <c r="W31" s="3"/>
      <c r="X31" s="3" t="s">
        <v>52</v>
      </c>
    </row>
    <row r="32" ht="15.2" spans="1:44">
      <c r="A32" s="3"/>
      <c r="B32" s="3"/>
      <c r="C32" s="20"/>
      <c r="D32" s="20"/>
      <c r="E32" s="20"/>
      <c r="F32" s="20"/>
      <c r="G32" s="3" t="s">
        <v>42</v>
      </c>
      <c r="H32" s="9">
        <f>(C31)*(维护参数!$B$10)</f>
        <v>4375</v>
      </c>
      <c r="I32" s="21"/>
      <c r="J32" s="3" t="s">
        <v>43</v>
      </c>
      <c r="K32" s="16">
        <f>(MAX(维护参数!$B$5,ROUNDUP(I31/10000,0)))*(维护参数!$B$3)</f>
        <v>935</v>
      </c>
      <c r="L32" s="21"/>
      <c r="M32" s="21"/>
      <c r="N32" s="21"/>
      <c r="O32" s="21"/>
      <c r="P32" s="22"/>
      <c r="Q32" s="16">
        <f>SUM(K32,P31)</f>
        <v>1870</v>
      </c>
      <c r="R32" s="18">
        <f t="shared" si="0"/>
        <v>0.427428571428571</v>
      </c>
      <c r="S32" s="16">
        <f t="shared" si="1"/>
        <v>2505</v>
      </c>
      <c r="T32" s="18">
        <f>S32/(C31)</f>
        <v>0.4008</v>
      </c>
      <c r="U32" s="16">
        <f>S32*维护参数!$B$20</f>
        <v>1628.25</v>
      </c>
      <c r="V32" s="18">
        <f>U32/(C31)</f>
        <v>0.26052</v>
      </c>
      <c r="W32" s="3"/>
      <c r="X32" s="3"/>
    </row>
    <row r="33" ht="15.2" spans="1:24">
      <c r="A33" s="3" t="s">
        <v>53</v>
      </c>
      <c r="B33" s="3" t="s">
        <v>54</v>
      </c>
      <c r="C33" s="9">
        <v>8750</v>
      </c>
      <c r="D33" s="9">
        <f>C33*0.6</f>
        <v>5250</v>
      </c>
      <c r="E33" s="26">
        <v>10000</v>
      </c>
      <c r="F33" s="26">
        <f>E33*0.6</f>
        <v>6000</v>
      </c>
      <c r="G33" s="3" t="s">
        <v>38</v>
      </c>
      <c r="H33" s="9">
        <f>(D33)*(1)</f>
        <v>5250</v>
      </c>
      <c r="I33" s="15">
        <f>ROUNDUP(C33*维护参数!$B$11/维护参数!$B$12*1000,0)</f>
        <v>233334</v>
      </c>
      <c r="J33" s="3" t="s">
        <v>39</v>
      </c>
      <c r="K33" s="16">
        <f>(MAX(维护参数!$B$4,ROUNDUP(I33/10000,0)))*(维护参数!$B$2)</f>
        <v>504</v>
      </c>
      <c r="L33" s="17">
        <f>ROUNDUP(C33*维护参数!$B$16/维护参数!$B$15/1000,0)*1000</f>
        <v>18000</v>
      </c>
      <c r="M33" s="17">
        <f>ROUNDUP(C33*维护参数!$B$17/维护参数!$B$15/10,0)*10</f>
        <v>180</v>
      </c>
      <c r="N33" s="17">
        <f>ROUNDUP(C33*维护参数!$B$18/维护参数!$B$15/10,0)*10</f>
        <v>180</v>
      </c>
      <c r="O33" s="17">
        <f>ROUNDUP(C33*维护参数!$B$19/维护参数!$B$15/10,0)*10</f>
        <v>270</v>
      </c>
      <c r="P33" s="16">
        <f>L33/1000*维护参数!$B$6+M33*维护参数!$B$7+N33*维护参数!$B$8+O33*维护参数!$B$9</f>
        <v>1296</v>
      </c>
      <c r="Q33" s="16">
        <f>SUM(K33,P33)</f>
        <v>1800</v>
      </c>
      <c r="R33" s="18">
        <f t="shared" si="0"/>
        <v>0.342857142857143</v>
      </c>
      <c r="S33" s="16">
        <f t="shared" si="1"/>
        <v>3450</v>
      </c>
      <c r="T33" s="18">
        <f>S33/(C33)</f>
        <v>0.394285714285714</v>
      </c>
      <c r="U33" s="16">
        <f>S33*维护参数!$B$20</f>
        <v>2242.5</v>
      </c>
      <c r="V33" s="18">
        <f>U33/(C33)</f>
        <v>0.256285714285714</v>
      </c>
      <c r="W33" s="3" t="s">
        <v>55</v>
      </c>
      <c r="X33" s="3" t="s">
        <v>56</v>
      </c>
    </row>
    <row r="34" ht="15.2" spans="1:24">
      <c r="A34" s="3"/>
      <c r="B34" s="3"/>
      <c r="C34" s="20"/>
      <c r="D34" s="20"/>
      <c r="E34" s="20"/>
      <c r="F34" s="20"/>
      <c r="G34" s="3" t="s">
        <v>42</v>
      </c>
      <c r="H34" s="9">
        <f>(C33)*(维护参数!$B$10)</f>
        <v>6125</v>
      </c>
      <c r="I34" s="21"/>
      <c r="J34" s="3" t="s">
        <v>43</v>
      </c>
      <c r="K34" s="16">
        <f>(MAX(维护参数!$B$5,ROUNDUP(I33/10000,0)))*(维护参数!$B$3)</f>
        <v>1320</v>
      </c>
      <c r="L34" s="21"/>
      <c r="M34" s="21"/>
      <c r="N34" s="21"/>
      <c r="O34" s="21"/>
      <c r="P34" s="22"/>
      <c r="Q34" s="16">
        <f>SUM(K34,P33)</f>
        <v>2616</v>
      </c>
      <c r="R34" s="18">
        <f t="shared" si="0"/>
        <v>0.427102040816327</v>
      </c>
      <c r="S34" s="16">
        <f t="shared" si="1"/>
        <v>3509</v>
      </c>
      <c r="T34" s="18">
        <f>S34/(C33)</f>
        <v>0.401028571428571</v>
      </c>
      <c r="U34" s="16">
        <f>S34*维护参数!$B$20</f>
        <v>2280.85</v>
      </c>
      <c r="V34" s="18">
        <f>U34/(C33)</f>
        <v>0.260668571428571</v>
      </c>
      <c r="W34" s="3"/>
      <c r="X34" s="3"/>
    </row>
    <row r="35" ht="15.2" spans="1:24">
      <c r="A35" s="3" t="s">
        <v>57</v>
      </c>
      <c r="B35" s="3" t="s">
        <v>54</v>
      </c>
      <c r="C35" s="9">
        <v>6000</v>
      </c>
      <c r="D35" s="9">
        <f>C35*0.6</f>
        <v>3600</v>
      </c>
      <c r="E35" s="26">
        <v>8000</v>
      </c>
      <c r="F35" s="26">
        <f>E35*0.6</f>
        <v>4800</v>
      </c>
      <c r="G35" s="3" t="s">
        <v>38</v>
      </c>
      <c r="H35" s="9">
        <f>(D35)*(1)</f>
        <v>3600</v>
      </c>
      <c r="I35" s="15">
        <f>ROUNDUP(C35*维护参数!$B$11/维护参数!$B$12*1000,0)</f>
        <v>160000</v>
      </c>
      <c r="J35" s="3" t="s">
        <v>39</v>
      </c>
      <c r="K35" s="16">
        <f>(MAX(维护参数!$B$4,ROUNDUP(I35/10000,0)))*(维护参数!$B$2)</f>
        <v>336</v>
      </c>
      <c r="L35" s="17">
        <f>ROUNDUP(C35*维护参数!$B$16/维护参数!$B$15/1000,0)*1000</f>
        <v>12000</v>
      </c>
      <c r="M35" s="17">
        <f>ROUNDUP(C35*维护参数!$B$17/维护参数!$B$15/10,0)*10</f>
        <v>120</v>
      </c>
      <c r="N35" s="17">
        <f>ROUNDUP(C35*维护参数!$B$18/维护参数!$B$15/10,0)*10</f>
        <v>120</v>
      </c>
      <c r="O35" s="17">
        <f>ROUNDUP(C35*维护参数!$B$19/维护参数!$B$15/10,0)*10</f>
        <v>180</v>
      </c>
      <c r="P35" s="16">
        <f>L35/1000*维护参数!$B$6+M35*维护参数!$B$7+N35*维护参数!$B$8+O35*维护参数!$B$9</f>
        <v>864</v>
      </c>
      <c r="Q35" s="16">
        <f>SUM(K35,P35)</f>
        <v>1200</v>
      </c>
      <c r="R35" s="18">
        <f t="shared" si="0"/>
        <v>0.333333333333333</v>
      </c>
      <c r="S35" s="16">
        <f t="shared" si="1"/>
        <v>2400</v>
      </c>
      <c r="T35" s="18">
        <f>S35/(C35)</f>
        <v>0.4</v>
      </c>
      <c r="U35" s="16">
        <f>S35*维护参数!$B$20</f>
        <v>1560</v>
      </c>
      <c r="V35" s="18">
        <f>U35/(C35)</f>
        <v>0.26</v>
      </c>
      <c r="W35" s="3"/>
      <c r="X35" s="3" t="s">
        <v>58</v>
      </c>
    </row>
    <row r="36" ht="15.2" spans="1:24">
      <c r="A36" s="3"/>
      <c r="B36" s="3"/>
      <c r="C36" s="20"/>
      <c r="D36" s="20"/>
      <c r="E36" s="20"/>
      <c r="F36" s="20"/>
      <c r="G36" s="3" t="s">
        <v>42</v>
      </c>
      <c r="H36" s="9">
        <f>(C35)*(维护参数!$B$10)</f>
        <v>4200</v>
      </c>
      <c r="I36" s="21"/>
      <c r="J36" s="3" t="s">
        <v>43</v>
      </c>
      <c r="K36" s="16">
        <f>(MAX(维护参数!$B$5,ROUNDUP(I35/10000,0)))*(维护参数!$B$3)</f>
        <v>880</v>
      </c>
      <c r="L36" s="21"/>
      <c r="M36" s="21"/>
      <c r="N36" s="21"/>
      <c r="O36" s="21"/>
      <c r="P36" s="22"/>
      <c r="Q36" s="16">
        <f>SUM(K36,P35)</f>
        <v>1744</v>
      </c>
      <c r="R36" s="18">
        <f t="shared" si="0"/>
        <v>0.415238095238095</v>
      </c>
      <c r="S36" s="16">
        <f t="shared" si="1"/>
        <v>2456</v>
      </c>
      <c r="T36" s="18">
        <f>S36/(C35)</f>
        <v>0.409333333333333</v>
      </c>
      <c r="U36" s="16">
        <f>S36*维护参数!$B$20</f>
        <v>1596.4</v>
      </c>
      <c r="V36" s="18">
        <f>U36/(C35)</f>
        <v>0.266066666666667</v>
      </c>
      <c r="W36" s="3"/>
      <c r="X36" s="3"/>
    </row>
    <row r="37" ht="15.2" spans="1:24">
      <c r="A37" s="3" t="s">
        <v>59</v>
      </c>
      <c r="B37" s="3" t="s">
        <v>60</v>
      </c>
      <c r="C37" s="9">
        <v>6000</v>
      </c>
      <c r="D37" s="9">
        <f>C37*0.6</f>
        <v>3600</v>
      </c>
      <c r="E37" s="14" t="s">
        <v>37</v>
      </c>
      <c r="F37" s="14" t="s">
        <v>37</v>
      </c>
      <c r="G37" s="3" t="s">
        <v>38</v>
      </c>
      <c r="H37" s="9">
        <f>(D37)*(1)</f>
        <v>3600</v>
      </c>
      <c r="I37" s="15">
        <f>ROUNDUP(C37*维护参数!$B$11/维护参数!$B$12*1000,0)</f>
        <v>160000</v>
      </c>
      <c r="J37" s="3" t="s">
        <v>39</v>
      </c>
      <c r="K37" s="16">
        <f>(MAX(维护参数!$B$4,ROUNDUP(I37/10000,0)))*(维护参数!$B$2)</f>
        <v>336</v>
      </c>
      <c r="L37" s="17">
        <f>ROUNDUP(C37*维护参数!$B$16/维护参数!$B$15/1000,0)*1000</f>
        <v>12000</v>
      </c>
      <c r="M37" s="17">
        <f>ROUNDUP(C37*维护参数!$B$17/维护参数!$B$15/10,0)*10</f>
        <v>120</v>
      </c>
      <c r="N37" s="17">
        <f>ROUNDUP(C37*维护参数!$B$18/维护参数!$B$15/10,0)*10</f>
        <v>120</v>
      </c>
      <c r="O37" s="17">
        <f>ROUNDUP(C37*维护参数!$B$19/维护参数!$B$15/10,0)*10</f>
        <v>180</v>
      </c>
      <c r="P37" s="16">
        <f>L37/1000*维护参数!$B$6+M37*维护参数!$B$7+N37*维护参数!$B$8+O37*维护参数!$B$9</f>
        <v>864</v>
      </c>
      <c r="Q37" s="16">
        <f>SUM(K37,P37)</f>
        <v>1200</v>
      </c>
      <c r="R37" s="18">
        <f t="shared" si="0"/>
        <v>0.333333333333333</v>
      </c>
      <c r="S37" s="16">
        <f t="shared" si="1"/>
        <v>2400</v>
      </c>
      <c r="T37" s="18">
        <f>S37/(C37)</f>
        <v>0.4</v>
      </c>
      <c r="U37" s="16">
        <f>S37*维护参数!$B$20</f>
        <v>1560</v>
      </c>
      <c r="V37" s="18">
        <f>U37/(C37)</f>
        <v>0.26</v>
      </c>
      <c r="W37" s="3" t="s">
        <v>61</v>
      </c>
      <c r="X37" s="3" t="s">
        <v>62</v>
      </c>
    </row>
    <row r="38" ht="15.2" spans="1:24">
      <c r="A38" s="3"/>
      <c r="B38" s="3"/>
      <c r="C38" s="20"/>
      <c r="D38" s="20"/>
      <c r="E38" s="20"/>
      <c r="F38" s="20"/>
      <c r="G38" s="3" t="s">
        <v>42</v>
      </c>
      <c r="H38" s="9">
        <f>(C37)*(维护参数!$B$10)</f>
        <v>4200</v>
      </c>
      <c r="I38" s="21"/>
      <c r="J38" s="3" t="s">
        <v>43</v>
      </c>
      <c r="K38" s="16">
        <f>(MAX(维护参数!$B$5,ROUNDUP(I37/10000,0)))*(维护参数!$B$3)</f>
        <v>880</v>
      </c>
      <c r="L38" s="21"/>
      <c r="M38" s="21"/>
      <c r="N38" s="21"/>
      <c r="O38" s="21"/>
      <c r="P38" s="22"/>
      <c r="Q38" s="16">
        <f>SUM(K38,P37)</f>
        <v>1744</v>
      </c>
      <c r="R38" s="18">
        <f t="shared" si="0"/>
        <v>0.415238095238095</v>
      </c>
      <c r="S38" s="16">
        <f t="shared" si="1"/>
        <v>2456</v>
      </c>
      <c r="T38" s="18">
        <f>S38/(C37)</f>
        <v>0.409333333333333</v>
      </c>
      <c r="U38" s="16">
        <f>S38*维护参数!$B$20</f>
        <v>1596.4</v>
      </c>
      <c r="V38" s="18">
        <f>U38/(C37)</f>
        <v>0.266066666666667</v>
      </c>
      <c r="W38" s="3"/>
      <c r="X38" s="3"/>
    </row>
    <row r="39" ht="15.2" spans="1:24">
      <c r="A39" s="3" t="s">
        <v>63</v>
      </c>
      <c r="B39" s="3" t="s">
        <v>64</v>
      </c>
      <c r="C39" s="9">
        <v>6000</v>
      </c>
      <c r="D39" s="9">
        <f>C39*0.6</f>
        <v>3600</v>
      </c>
      <c r="E39" s="26">
        <v>8000</v>
      </c>
      <c r="F39" s="26">
        <f>E39*0.6</f>
        <v>4800</v>
      </c>
      <c r="G39" s="3" t="s">
        <v>38</v>
      </c>
      <c r="H39" s="9">
        <f>(D39)*(1)</f>
        <v>3600</v>
      </c>
      <c r="I39" s="15">
        <f>ROUNDUP(C39*维护参数!$B$11/维护参数!$B$12*1000,0)</f>
        <v>160000</v>
      </c>
      <c r="J39" s="3" t="s">
        <v>39</v>
      </c>
      <c r="K39" s="16">
        <f>(MAX(维护参数!$B$4,ROUNDUP(I39/10000,0)))*(维护参数!$B$2)</f>
        <v>336</v>
      </c>
      <c r="L39" s="17">
        <f>ROUNDUP(C39*维护参数!$B$16/维护参数!$B$15/1000,0)*1000</f>
        <v>12000</v>
      </c>
      <c r="M39" s="17">
        <f>ROUNDUP(C39*维护参数!$B$17/维护参数!$B$15/10,0)*10</f>
        <v>120</v>
      </c>
      <c r="N39" s="17">
        <f>ROUNDUP(C39*维护参数!$B$18/维护参数!$B$15/10,0)*10</f>
        <v>120</v>
      </c>
      <c r="O39" s="17">
        <f>ROUNDUP(C39*维护参数!$B$19/维护参数!$B$15/10,0)*10</f>
        <v>180</v>
      </c>
      <c r="P39" s="16">
        <f>L39/1000*维护参数!$B$6+M39*维护参数!$B$7+N39*维护参数!$B$8+O39*维护参数!$B$9</f>
        <v>864</v>
      </c>
      <c r="Q39" s="16">
        <f>SUM(K39,P39)</f>
        <v>1200</v>
      </c>
      <c r="R39" s="18">
        <f t="shared" si="0"/>
        <v>0.333333333333333</v>
      </c>
      <c r="S39" s="16">
        <f t="shared" si="1"/>
        <v>2400</v>
      </c>
      <c r="T39" s="18">
        <f>S39/(C39)</f>
        <v>0.4</v>
      </c>
      <c r="U39" s="16">
        <f>S39*维护参数!$B$20</f>
        <v>1560</v>
      </c>
      <c r="V39" s="18">
        <f>U39/(C39)</f>
        <v>0.26</v>
      </c>
      <c r="W39" s="3" t="s">
        <v>65</v>
      </c>
      <c r="X39" s="3" t="s">
        <v>66</v>
      </c>
    </row>
    <row r="40" ht="15.2" spans="1:24">
      <c r="A40" s="3"/>
      <c r="B40" s="3"/>
      <c r="C40" s="20"/>
      <c r="D40" s="20"/>
      <c r="E40" s="20"/>
      <c r="F40" s="20"/>
      <c r="G40" s="3" t="s">
        <v>42</v>
      </c>
      <c r="H40" s="9">
        <f>(C39)*(维护参数!$B$10)</f>
        <v>4200</v>
      </c>
      <c r="I40" s="21"/>
      <c r="J40" s="3" t="s">
        <v>43</v>
      </c>
      <c r="K40" s="16">
        <f>(MAX(维护参数!$B$5,ROUNDUP(I39/10000,0)))*(维护参数!$B$3)</f>
        <v>880</v>
      </c>
      <c r="L40" s="21"/>
      <c r="M40" s="21"/>
      <c r="N40" s="21"/>
      <c r="O40" s="21"/>
      <c r="P40" s="22"/>
      <c r="Q40" s="16">
        <f>SUM(K40,P39)</f>
        <v>1744</v>
      </c>
      <c r="R40" s="18">
        <f t="shared" si="0"/>
        <v>0.415238095238095</v>
      </c>
      <c r="S40" s="16">
        <f t="shared" si="1"/>
        <v>2456</v>
      </c>
      <c r="T40" s="18">
        <f>S40/(C39)</f>
        <v>0.409333333333333</v>
      </c>
      <c r="U40" s="16">
        <f>S40*维护参数!$B$20</f>
        <v>1596.4</v>
      </c>
      <c r="V40" s="18">
        <f>U40/(C39)</f>
        <v>0.266066666666667</v>
      </c>
      <c r="W40" s="3"/>
      <c r="X40" s="3"/>
    </row>
    <row r="41" ht="15.2" spans="1:24">
      <c r="A41" s="3" t="s">
        <v>67</v>
      </c>
      <c r="B41" s="3" t="s">
        <v>64</v>
      </c>
      <c r="C41" s="9">
        <v>4800</v>
      </c>
      <c r="D41" s="9">
        <f>C41*0.6</f>
        <v>2880</v>
      </c>
      <c r="E41" s="26">
        <v>6000</v>
      </c>
      <c r="F41" s="26">
        <f>E41*0.6</f>
        <v>3600</v>
      </c>
      <c r="G41" s="3" t="s">
        <v>38</v>
      </c>
      <c r="H41" s="9">
        <f>(D41)*(1)</f>
        <v>2880</v>
      </c>
      <c r="I41" s="15">
        <f>ROUNDUP(C41*维护参数!$B$11/维护参数!$B$12*1000,0)</f>
        <v>128000</v>
      </c>
      <c r="J41" s="3" t="s">
        <v>39</v>
      </c>
      <c r="K41" s="16">
        <f>(MAX(维护参数!$B$4,ROUNDUP(I41/10000,0)))*(维护参数!$B$2)</f>
        <v>273</v>
      </c>
      <c r="L41" s="17">
        <f>ROUNDUP(C41*维护参数!$B$16/维护参数!$B$15/1000,0)*1000</f>
        <v>10000</v>
      </c>
      <c r="M41" s="17">
        <f>ROUNDUP(C41*维护参数!$B$17/维护参数!$B$15/10,0)*10</f>
        <v>100</v>
      </c>
      <c r="N41" s="17">
        <f>ROUNDUP(C41*维护参数!$B$18/维护参数!$B$15/10,0)*10</f>
        <v>100</v>
      </c>
      <c r="O41" s="17">
        <f>ROUNDUP(C41*维护参数!$B$19/维护参数!$B$15/10,0)*10</f>
        <v>150</v>
      </c>
      <c r="P41" s="16">
        <f>L41/1000*维护参数!$B$6+M41*维护参数!$B$7+N41*维护参数!$B$8+O41*维护参数!$B$9</f>
        <v>720</v>
      </c>
      <c r="Q41" s="16">
        <f>SUM(K41,P41)</f>
        <v>993</v>
      </c>
      <c r="R41" s="18">
        <f t="shared" si="0"/>
        <v>0.344791666666667</v>
      </c>
      <c r="S41" s="16">
        <f t="shared" si="1"/>
        <v>1887</v>
      </c>
      <c r="T41" s="18">
        <f>S41/(C41)</f>
        <v>0.393125</v>
      </c>
      <c r="U41" s="16">
        <f>S41*维护参数!$B$20</f>
        <v>1226.55</v>
      </c>
      <c r="V41" s="18">
        <f>U41/(C41)</f>
        <v>0.25553125</v>
      </c>
      <c r="W41" s="3"/>
      <c r="X41" s="3" t="s">
        <v>68</v>
      </c>
    </row>
    <row r="42" ht="15.2" spans="1:24">
      <c r="A42" s="3"/>
      <c r="B42" s="3"/>
      <c r="C42" s="20"/>
      <c r="D42" s="20"/>
      <c r="E42" s="20"/>
      <c r="F42" s="20"/>
      <c r="G42" s="3" t="s">
        <v>42</v>
      </c>
      <c r="H42" s="9">
        <f>(C41)*(维护参数!$B$10)</f>
        <v>3360</v>
      </c>
      <c r="I42" s="21"/>
      <c r="J42" s="3" t="s">
        <v>43</v>
      </c>
      <c r="K42" s="16">
        <f>(MAX(维护参数!$B$5,ROUNDUP(I41/10000,0)))*(维护参数!$B$3)</f>
        <v>715</v>
      </c>
      <c r="L42" s="21"/>
      <c r="M42" s="21"/>
      <c r="N42" s="21"/>
      <c r="O42" s="21"/>
      <c r="P42" s="22"/>
      <c r="Q42" s="16">
        <f>SUM(K42,P41)</f>
        <v>1435</v>
      </c>
      <c r="R42" s="18">
        <f t="shared" si="0"/>
        <v>0.427083333333333</v>
      </c>
      <c r="S42" s="16">
        <f t="shared" si="1"/>
        <v>1925</v>
      </c>
      <c r="T42" s="18">
        <f>S42/(C41)</f>
        <v>0.401041666666667</v>
      </c>
      <c r="U42" s="16">
        <f>S42*维护参数!$B$20</f>
        <v>1251.25</v>
      </c>
      <c r="V42" s="18">
        <f>U42/(C41)</f>
        <v>0.260677083333333</v>
      </c>
      <c r="W42" s="3"/>
      <c r="X42" s="3"/>
    </row>
    <row r="43" ht="15.2" spans="1:24">
      <c r="A43" s="3" t="s">
        <v>69</v>
      </c>
      <c r="B43" s="3" t="s">
        <v>51</v>
      </c>
      <c r="C43" s="9">
        <v>3500</v>
      </c>
      <c r="D43" s="9">
        <f>C43*0.6</f>
        <v>2100</v>
      </c>
      <c r="E43" s="26">
        <v>4500</v>
      </c>
      <c r="F43" s="26">
        <f>E43*0.6</f>
        <v>2700</v>
      </c>
      <c r="G43" s="3" t="s">
        <v>38</v>
      </c>
      <c r="H43" s="9">
        <f>(D43)*(1)</f>
        <v>2100</v>
      </c>
      <c r="I43" s="15">
        <f>ROUNDUP(C43*维护参数!$B$11/维护参数!$B$12*1000,0)</f>
        <v>93334</v>
      </c>
      <c r="J43" s="3" t="s">
        <v>39</v>
      </c>
      <c r="K43" s="16">
        <f>(MAX(维护参数!$B$4,ROUNDUP(I43/10000,0)))*(维护参数!$B$2)</f>
        <v>210</v>
      </c>
      <c r="L43" s="17">
        <f>ROUNDUP(C43*维护参数!$B$16/维护参数!$B$15/1000,0)*1000</f>
        <v>7000</v>
      </c>
      <c r="M43" s="17">
        <f>ROUNDUP(C43*维护参数!$B$17/维护参数!$B$15/10,0)*10</f>
        <v>70</v>
      </c>
      <c r="N43" s="17">
        <f>ROUNDUP(C43*维护参数!$B$18/维护参数!$B$15/10,0)*10</f>
        <v>70</v>
      </c>
      <c r="O43" s="17">
        <f>ROUNDUP(C43*维护参数!$B$19/维护参数!$B$15/10,0)*10</f>
        <v>110</v>
      </c>
      <c r="P43" s="16">
        <f>L43/1000*维护参数!$B$6+M43*维护参数!$B$7+N43*维护参数!$B$8+O43*维护参数!$B$9</f>
        <v>505</v>
      </c>
      <c r="Q43" s="16">
        <f>SUM(K43,P43)</f>
        <v>715</v>
      </c>
      <c r="R43" s="18">
        <f t="shared" si="0"/>
        <v>0.34047619047619</v>
      </c>
      <c r="S43" s="16">
        <f t="shared" si="1"/>
        <v>1385</v>
      </c>
      <c r="T43" s="18">
        <f>S43/(C43)</f>
        <v>0.395714285714286</v>
      </c>
      <c r="U43" s="16">
        <f>S43*维护参数!$B$20</f>
        <v>900.25</v>
      </c>
      <c r="V43" s="18">
        <f>U43/(C43)</f>
        <v>0.257214285714286</v>
      </c>
      <c r="W43" s="3" t="s">
        <v>61</v>
      </c>
      <c r="X43" s="3" t="s">
        <v>70</v>
      </c>
    </row>
    <row r="44" ht="15.2" spans="1:24">
      <c r="A44" s="3"/>
      <c r="B44" s="3"/>
      <c r="C44" s="20"/>
      <c r="D44" s="20"/>
      <c r="E44" s="20"/>
      <c r="F44" s="20"/>
      <c r="G44" s="3" t="s">
        <v>42</v>
      </c>
      <c r="H44" s="9">
        <f>(C43)*(维护参数!$B$10)</f>
        <v>2450</v>
      </c>
      <c r="I44" s="21"/>
      <c r="J44" s="3" t="s">
        <v>43</v>
      </c>
      <c r="K44" s="16">
        <f>(MAX(维护参数!$B$5,ROUNDUP(I43/10000,0)))*(维护参数!$B$3)</f>
        <v>550</v>
      </c>
      <c r="L44" s="21"/>
      <c r="M44" s="21"/>
      <c r="N44" s="21"/>
      <c r="O44" s="21"/>
      <c r="P44" s="22"/>
      <c r="Q44" s="16">
        <f>SUM(K44,P43)</f>
        <v>1055</v>
      </c>
      <c r="R44" s="18">
        <f t="shared" si="0"/>
        <v>0.430612244897959</v>
      </c>
      <c r="S44" s="16">
        <f t="shared" si="1"/>
        <v>1395</v>
      </c>
      <c r="T44" s="18">
        <f>S44/(C43)</f>
        <v>0.398571428571429</v>
      </c>
      <c r="U44" s="16">
        <f>S44*维护参数!$B$20</f>
        <v>906.75</v>
      </c>
      <c r="V44" s="18">
        <f>U44/(C43)</f>
        <v>0.259071428571429</v>
      </c>
      <c r="W44" s="3"/>
      <c r="X44" s="3"/>
    </row>
    <row r="45" ht="15.2" spans="1:24">
      <c r="A45" s="3" t="s">
        <v>71</v>
      </c>
      <c r="B45" s="3" t="s">
        <v>72</v>
      </c>
      <c r="C45" s="9">
        <v>7800</v>
      </c>
      <c r="D45" s="9">
        <f>C45*0.6</f>
        <v>4680</v>
      </c>
      <c r="E45" s="14" t="s">
        <v>37</v>
      </c>
      <c r="F45" s="14" t="s">
        <v>37</v>
      </c>
      <c r="G45" s="3" t="s">
        <v>38</v>
      </c>
      <c r="H45" s="9">
        <f>(D45)*(1)</f>
        <v>4680</v>
      </c>
      <c r="I45" s="15">
        <f>ROUNDUP(C45*维护参数!$B$11/维护参数!$B$12*1000,0)</f>
        <v>208000</v>
      </c>
      <c r="J45" s="3" t="s">
        <v>39</v>
      </c>
      <c r="K45" s="16">
        <f>(MAX(维护参数!$B$4,ROUNDUP(I45/10000,0)))*(维护参数!$B$2)</f>
        <v>441</v>
      </c>
      <c r="L45" s="17">
        <f>ROUNDUP(C45*维护参数!$B$16/维护参数!$B$15/1000,0)*1000</f>
        <v>16000</v>
      </c>
      <c r="M45" s="17">
        <f>ROUNDUP(C45*维护参数!$B$17/维护参数!$B$15/10,0)*10</f>
        <v>160</v>
      </c>
      <c r="N45" s="17">
        <f>ROUNDUP(C45*维护参数!$B$18/维护参数!$B$15/10,0)*10</f>
        <v>160</v>
      </c>
      <c r="O45" s="17">
        <f>ROUNDUP(C45*维护参数!$B$19/维护参数!$B$15/10,0)*10</f>
        <v>240</v>
      </c>
      <c r="P45" s="16">
        <f>L45/1000*维护参数!$B$6+M45*维护参数!$B$7+N45*维护参数!$B$8+O45*维护参数!$B$9</f>
        <v>1152</v>
      </c>
      <c r="Q45" s="16">
        <f>SUM(K45,P45)</f>
        <v>1593</v>
      </c>
      <c r="R45" s="18">
        <f t="shared" si="0"/>
        <v>0.340384615384615</v>
      </c>
      <c r="S45" s="16">
        <f t="shared" si="1"/>
        <v>3087</v>
      </c>
      <c r="T45" s="18">
        <f>S45/(C45)</f>
        <v>0.395769230769231</v>
      </c>
      <c r="U45" s="16">
        <f>S45*维护参数!$B$20</f>
        <v>2006.55</v>
      </c>
      <c r="V45" s="18">
        <f>U45/(C45)</f>
        <v>0.25725</v>
      </c>
      <c r="W45" s="3"/>
      <c r="X45" s="3" t="s">
        <v>73</v>
      </c>
    </row>
    <row r="46" ht="15.2" spans="1:24">
      <c r="A46" s="3"/>
      <c r="B46" s="3"/>
      <c r="C46" s="20"/>
      <c r="D46" s="20"/>
      <c r="E46" s="20"/>
      <c r="F46" s="20"/>
      <c r="G46" s="3" t="s">
        <v>42</v>
      </c>
      <c r="H46" s="9">
        <f>(C45)*(维护参数!$B$10)</f>
        <v>5460</v>
      </c>
      <c r="I46" s="21"/>
      <c r="J46" s="3" t="s">
        <v>43</v>
      </c>
      <c r="K46" s="16">
        <f>(MAX(维护参数!$B$5,ROUNDUP(I45/10000,0)))*(维护参数!$B$3)</f>
        <v>1155</v>
      </c>
      <c r="L46" s="21"/>
      <c r="M46" s="21"/>
      <c r="N46" s="21"/>
      <c r="O46" s="21"/>
      <c r="P46" s="22"/>
      <c r="Q46" s="16">
        <f>SUM(K46,P45)</f>
        <v>2307</v>
      </c>
      <c r="R46" s="18">
        <f t="shared" si="0"/>
        <v>0.422527472527473</v>
      </c>
      <c r="S46" s="16">
        <f t="shared" si="1"/>
        <v>3153</v>
      </c>
      <c r="T46" s="18">
        <f>S46/(C45)</f>
        <v>0.404230769230769</v>
      </c>
      <c r="U46" s="16">
        <f>S46*维护参数!$B$20</f>
        <v>2049.45</v>
      </c>
      <c r="V46" s="18">
        <f>U46/(C45)</f>
        <v>0.26275</v>
      </c>
      <c r="W46" s="3"/>
      <c r="X46" s="3"/>
    </row>
    <row r="47" ht="15.2" spans="1:24">
      <c r="A47" s="3" t="s">
        <v>74</v>
      </c>
      <c r="B47" s="3" t="s">
        <v>75</v>
      </c>
      <c r="C47" s="9">
        <v>3750</v>
      </c>
      <c r="D47" s="9">
        <f>C47*0.6</f>
        <v>2250</v>
      </c>
      <c r="E47" s="26">
        <v>5000</v>
      </c>
      <c r="F47" s="26">
        <f>E47*0.6</f>
        <v>3000</v>
      </c>
      <c r="G47" s="3" t="s">
        <v>38</v>
      </c>
      <c r="H47" s="9">
        <f>(D47)*(1)</f>
        <v>2250</v>
      </c>
      <c r="I47" s="15">
        <f>ROUNDUP(C47*维护参数!$B$11/维护参数!$B$12*1000,0)</f>
        <v>100000</v>
      </c>
      <c r="J47" s="3" t="s">
        <v>39</v>
      </c>
      <c r="K47" s="16">
        <f>(MAX(维护参数!$B$4,ROUNDUP(I47/10000,0)))*(维护参数!$B$2)</f>
        <v>210</v>
      </c>
      <c r="L47" s="17">
        <f>ROUNDUP(C47*维护参数!$B$16/维护参数!$B$15/1000,0)*1000</f>
        <v>8000</v>
      </c>
      <c r="M47" s="17">
        <f>ROUNDUP(C47*维护参数!$B$17/维护参数!$B$15/10,0)*10</f>
        <v>80</v>
      </c>
      <c r="N47" s="17">
        <f>ROUNDUP(C47*维护参数!$B$18/维护参数!$B$15/10,0)*10</f>
        <v>80</v>
      </c>
      <c r="O47" s="17">
        <f>ROUNDUP(C47*维护参数!$B$19/维护参数!$B$15/10,0)*10</f>
        <v>120</v>
      </c>
      <c r="P47" s="16">
        <f>L47/1000*维护参数!$B$6+M47*维护参数!$B$7+N47*维护参数!$B$8+O47*维护参数!$B$9</f>
        <v>576</v>
      </c>
      <c r="Q47" s="16">
        <f>SUM(K47,P47)</f>
        <v>786</v>
      </c>
      <c r="R47" s="18">
        <f t="shared" si="0"/>
        <v>0.349333333333333</v>
      </c>
      <c r="S47" s="16">
        <f t="shared" si="1"/>
        <v>1464</v>
      </c>
      <c r="T47" s="18">
        <f>S47/(C47)</f>
        <v>0.3904</v>
      </c>
      <c r="U47" s="16">
        <f>S47*维护参数!$B$20</f>
        <v>951.6</v>
      </c>
      <c r="V47" s="18">
        <f>U47/(C47)</f>
        <v>0.25376</v>
      </c>
      <c r="W47" s="3" t="s">
        <v>61</v>
      </c>
      <c r="X47" s="3" t="s">
        <v>76</v>
      </c>
    </row>
    <row r="48" ht="15.2" spans="1:24">
      <c r="A48" s="3"/>
      <c r="B48" s="3"/>
      <c r="C48" s="20"/>
      <c r="D48" s="20"/>
      <c r="E48" s="20"/>
      <c r="F48" s="20"/>
      <c r="G48" s="3" t="s">
        <v>42</v>
      </c>
      <c r="H48" s="9">
        <f>(C47)*(维护参数!$B$10)</f>
        <v>2625</v>
      </c>
      <c r="I48" s="21"/>
      <c r="J48" s="3" t="s">
        <v>43</v>
      </c>
      <c r="K48" s="16">
        <f>(MAX(维护参数!$B$5,ROUNDUP(I47/10000,0)))*(维护参数!$B$3)</f>
        <v>550</v>
      </c>
      <c r="L48" s="21"/>
      <c r="M48" s="21"/>
      <c r="N48" s="21"/>
      <c r="O48" s="21"/>
      <c r="P48" s="22"/>
      <c r="Q48" s="16">
        <f>SUM(K48,P47)</f>
        <v>1126</v>
      </c>
      <c r="R48" s="18">
        <f t="shared" si="0"/>
        <v>0.428952380952381</v>
      </c>
      <c r="S48" s="16">
        <f t="shared" si="1"/>
        <v>1499</v>
      </c>
      <c r="T48" s="18">
        <f>S48/(C47)</f>
        <v>0.399733333333333</v>
      </c>
      <c r="U48" s="16">
        <f>S48*维护参数!$B$20</f>
        <v>974.35</v>
      </c>
      <c r="V48" s="18">
        <f>U48/(C47)</f>
        <v>0.259826666666667</v>
      </c>
      <c r="W48" s="3"/>
      <c r="X48" s="3"/>
    </row>
    <row r="49" ht="15.2" spans="1:24">
      <c r="A49" s="3" t="s">
        <v>77</v>
      </c>
      <c r="B49" s="3" t="s">
        <v>75</v>
      </c>
      <c r="C49" s="9">
        <v>3000</v>
      </c>
      <c r="D49" s="9">
        <f>C49*0.6</f>
        <v>1800</v>
      </c>
      <c r="E49" s="26">
        <v>5000</v>
      </c>
      <c r="F49" s="26">
        <f>E49*0.6</f>
        <v>3000</v>
      </c>
      <c r="G49" s="3" t="s">
        <v>38</v>
      </c>
      <c r="H49" s="9">
        <f>(D49)*(1)</f>
        <v>1800</v>
      </c>
      <c r="I49" s="15">
        <f>ROUNDUP(C49*维护参数!$B$11/维护参数!$B$12*1000,0)</f>
        <v>80000</v>
      </c>
      <c r="J49" s="3" t="s">
        <v>39</v>
      </c>
      <c r="K49" s="16">
        <f>(MAX(维护参数!$B$4,ROUNDUP(I49/10000,0)))*(维护参数!$B$2)</f>
        <v>210</v>
      </c>
      <c r="L49" s="17">
        <f>ROUNDUP(C49*维护参数!$B$16/维护参数!$B$15/1000,0)*1000</f>
        <v>6000</v>
      </c>
      <c r="M49" s="17">
        <f>ROUNDUP(C49*维护参数!$B$17/维护参数!$B$15/10,0)*10</f>
        <v>60</v>
      </c>
      <c r="N49" s="17">
        <f>ROUNDUP(C49*维护参数!$B$18/维护参数!$B$15/10,0)*10</f>
        <v>60</v>
      </c>
      <c r="O49" s="17">
        <f>ROUNDUP(C49*维护参数!$B$19/维护参数!$B$15/10,0)*10</f>
        <v>90</v>
      </c>
      <c r="P49" s="16">
        <f>L49/1000*维护参数!$B$6+M49*维护参数!$B$7+N49*维护参数!$B$8+O49*维护参数!$B$9</f>
        <v>432</v>
      </c>
      <c r="Q49" s="16">
        <f>SUM(K49,P49)</f>
        <v>642</v>
      </c>
      <c r="R49" s="18">
        <f t="shared" si="0"/>
        <v>0.356666666666667</v>
      </c>
      <c r="S49" s="16">
        <f t="shared" si="1"/>
        <v>1158</v>
      </c>
      <c r="T49" s="18">
        <f>S49/(C49)</f>
        <v>0.386</v>
      </c>
      <c r="U49" s="16">
        <f>S49*维护参数!$B$20</f>
        <v>752.7</v>
      </c>
      <c r="V49" s="18">
        <f>U49/(C49)</f>
        <v>0.2509</v>
      </c>
      <c r="W49" s="27" t="s">
        <v>78</v>
      </c>
      <c r="X49" s="3" t="s">
        <v>79</v>
      </c>
    </row>
    <row r="50" ht="15.2" spans="1:24">
      <c r="A50" s="3"/>
      <c r="B50" s="3"/>
      <c r="C50" s="20"/>
      <c r="D50" s="20"/>
      <c r="E50" s="20"/>
      <c r="F50" s="20"/>
      <c r="G50" s="3" t="s">
        <v>42</v>
      </c>
      <c r="H50" s="9">
        <f>(C49)*(维护参数!$B$10)</f>
        <v>2100</v>
      </c>
      <c r="I50" s="21"/>
      <c r="J50" s="3" t="s">
        <v>43</v>
      </c>
      <c r="K50" s="16">
        <f>(MAX(维护参数!$B$5,ROUNDUP(I49/10000,0)))*(维护参数!$B$3)</f>
        <v>440</v>
      </c>
      <c r="L50" s="21"/>
      <c r="M50" s="21"/>
      <c r="N50" s="21"/>
      <c r="O50" s="21"/>
      <c r="P50" s="22"/>
      <c r="Q50" s="16">
        <f>SUM(K50,P49)</f>
        <v>872</v>
      </c>
      <c r="R50" s="18">
        <f t="shared" si="0"/>
        <v>0.415238095238095</v>
      </c>
      <c r="S50" s="16">
        <f t="shared" si="1"/>
        <v>1228</v>
      </c>
      <c r="T50" s="18">
        <f>S50/(C49)</f>
        <v>0.409333333333333</v>
      </c>
      <c r="U50" s="16">
        <f>S50*维护参数!$B$20</f>
        <v>798.2</v>
      </c>
      <c r="V50" s="18">
        <f>U50/(C49)</f>
        <v>0.266066666666667</v>
      </c>
      <c r="W50" s="3"/>
      <c r="X50" s="3"/>
    </row>
    <row r="51" ht="15.2" spans="1:24">
      <c r="A51" s="3" t="s">
        <v>80</v>
      </c>
      <c r="B51" s="3" t="s">
        <v>60</v>
      </c>
      <c r="C51" s="9">
        <v>7150</v>
      </c>
      <c r="D51" s="9">
        <f>C51*0.6</f>
        <v>4290</v>
      </c>
      <c r="E51" s="14" t="s">
        <v>37</v>
      </c>
      <c r="F51" s="14" t="s">
        <v>37</v>
      </c>
      <c r="G51" s="3" t="s">
        <v>38</v>
      </c>
      <c r="H51" s="9">
        <f>(D51)*(1)</f>
        <v>4290</v>
      </c>
      <c r="I51" s="15">
        <f>ROUNDUP(C51*维护参数!$B$11/维护参数!$B$12*1000,0)</f>
        <v>190667</v>
      </c>
      <c r="J51" s="3" t="s">
        <v>39</v>
      </c>
      <c r="K51" s="16">
        <f>(MAX(维护参数!$B$4,ROUNDUP(I51/10000,0)))*(维护参数!$B$2)</f>
        <v>420</v>
      </c>
      <c r="L51" s="17">
        <f>ROUNDUP(C51*维护参数!$B$16/维护参数!$B$15/1000,0)*1000</f>
        <v>15000</v>
      </c>
      <c r="M51" s="17">
        <f>ROUNDUP(C51*维护参数!$B$17/维护参数!$B$15/10,0)*10</f>
        <v>150</v>
      </c>
      <c r="N51" s="17">
        <f>ROUNDUP(C51*维护参数!$B$18/维护参数!$B$15/10,0)*10</f>
        <v>150</v>
      </c>
      <c r="O51" s="17">
        <f>ROUNDUP(C51*维护参数!$B$19/维护参数!$B$15/10,0)*10</f>
        <v>220</v>
      </c>
      <c r="P51" s="16">
        <f>L51/1000*维护参数!$B$6+M51*维护参数!$B$7+N51*维护参数!$B$8+O51*维护参数!$B$9</f>
        <v>1079</v>
      </c>
      <c r="Q51" s="16">
        <f>SUM(K51,P51)</f>
        <v>1499</v>
      </c>
      <c r="R51" s="18">
        <f t="shared" si="0"/>
        <v>0.349417249417249</v>
      </c>
      <c r="S51" s="16">
        <f t="shared" si="1"/>
        <v>2791</v>
      </c>
      <c r="T51" s="18">
        <f>S51/(C51)</f>
        <v>0.39034965034965</v>
      </c>
      <c r="U51" s="16">
        <f>S51*维护参数!$B$20</f>
        <v>1814.15</v>
      </c>
      <c r="V51" s="18">
        <f>U51/(C51)</f>
        <v>0.253727272727273</v>
      </c>
      <c r="W51" s="3" t="s">
        <v>61</v>
      </c>
      <c r="X51" s="3" t="s">
        <v>81</v>
      </c>
    </row>
    <row r="52" ht="15.2" spans="1:24">
      <c r="A52" s="3"/>
      <c r="B52" s="3"/>
      <c r="C52" s="20"/>
      <c r="D52" s="20"/>
      <c r="E52" s="20"/>
      <c r="F52" s="20"/>
      <c r="G52" s="3" t="s">
        <v>42</v>
      </c>
      <c r="H52" s="9">
        <f>(C51)*(维护参数!$B$10)</f>
        <v>5005</v>
      </c>
      <c r="I52" s="21"/>
      <c r="J52" s="3" t="s">
        <v>43</v>
      </c>
      <c r="K52" s="16">
        <f>(MAX(维护参数!$B$5,ROUNDUP(I51/10000,0)))*(维护参数!$B$3)</f>
        <v>1100</v>
      </c>
      <c r="L52" s="21"/>
      <c r="M52" s="21"/>
      <c r="N52" s="21"/>
      <c r="O52" s="21"/>
      <c r="P52" s="22"/>
      <c r="Q52" s="16">
        <f>SUM(K52,P51)</f>
        <v>2179</v>
      </c>
      <c r="R52" s="18">
        <f t="shared" si="0"/>
        <v>0.435364635364635</v>
      </c>
      <c r="S52" s="16">
        <f t="shared" si="1"/>
        <v>2826</v>
      </c>
      <c r="T52" s="18">
        <f>S52/(C51)</f>
        <v>0.395244755244755</v>
      </c>
      <c r="U52" s="16">
        <f>S52*维护参数!$B$20</f>
        <v>1836.9</v>
      </c>
      <c r="V52" s="18">
        <f>U52/(C51)</f>
        <v>0.256909090909091</v>
      </c>
      <c r="W52" s="3"/>
      <c r="X52" s="3"/>
    </row>
    <row r="53" ht="15.2" spans="1:24">
      <c r="A53" s="3" t="s">
        <v>82</v>
      </c>
      <c r="B53" s="3" t="s">
        <v>75</v>
      </c>
      <c r="C53" s="9">
        <v>7000</v>
      </c>
      <c r="D53" s="9">
        <f>C53*0.6</f>
        <v>4200</v>
      </c>
      <c r="E53" s="14" t="s">
        <v>37</v>
      </c>
      <c r="F53" s="14" t="s">
        <v>37</v>
      </c>
      <c r="G53" s="3" t="s">
        <v>38</v>
      </c>
      <c r="H53" s="9">
        <f>(D53)*(1)</f>
        <v>4200</v>
      </c>
      <c r="I53" s="15">
        <f>ROUNDUP(C53*维护参数!$B$11/维护参数!$B$12*1000,0)</f>
        <v>186667</v>
      </c>
      <c r="J53" s="3" t="s">
        <v>39</v>
      </c>
      <c r="K53" s="16">
        <f>(MAX(维护参数!$B$4,ROUNDUP(I53/10000,0)))*(维护参数!$B$2)</f>
        <v>399</v>
      </c>
      <c r="L53" s="17">
        <f>ROUNDUP(C53*维护参数!$B$16/维护参数!$B$15/1000,0)*1000</f>
        <v>14000</v>
      </c>
      <c r="M53" s="17">
        <f>ROUNDUP(C53*维护参数!$B$17/维护参数!$B$15/10,0)*10</f>
        <v>140</v>
      </c>
      <c r="N53" s="17">
        <f>ROUNDUP(C53*维护参数!$B$18/维护参数!$B$15/10,0)*10</f>
        <v>140</v>
      </c>
      <c r="O53" s="17">
        <f>ROUNDUP(C53*维护参数!$B$19/维护参数!$B$15/10,0)*10</f>
        <v>210</v>
      </c>
      <c r="P53" s="16">
        <f>L53/1000*维护参数!$B$6+M53*维护参数!$B$7+N53*维护参数!$B$8+O53*维护参数!$B$9</f>
        <v>1008</v>
      </c>
      <c r="Q53" s="16">
        <f>SUM(K53,P53)</f>
        <v>1407</v>
      </c>
      <c r="R53" s="18">
        <f t="shared" si="0"/>
        <v>0.335</v>
      </c>
      <c r="S53" s="16">
        <f t="shared" si="1"/>
        <v>2793</v>
      </c>
      <c r="T53" s="18">
        <f>S53/(C53)</f>
        <v>0.399</v>
      </c>
      <c r="U53" s="16">
        <f>S53*维护参数!$B$20</f>
        <v>1815.45</v>
      </c>
      <c r="V53" s="18">
        <f>U53/(C53)</f>
        <v>0.25935</v>
      </c>
      <c r="W53" s="3" t="s">
        <v>83</v>
      </c>
      <c r="X53" s="3" t="s">
        <v>84</v>
      </c>
    </row>
    <row r="54" ht="15.2" spans="1:24">
      <c r="A54" s="3"/>
      <c r="B54" s="3"/>
      <c r="C54" s="20"/>
      <c r="D54" s="20"/>
      <c r="E54" s="20"/>
      <c r="F54" s="20"/>
      <c r="G54" s="3" t="s">
        <v>42</v>
      </c>
      <c r="H54" s="9">
        <f>(C53)*(维护参数!$B$10)</f>
        <v>4900</v>
      </c>
      <c r="I54" s="21"/>
      <c r="J54" s="3" t="s">
        <v>43</v>
      </c>
      <c r="K54" s="16">
        <f>(MAX(维护参数!$B$5,ROUNDUP(I53/10000,0)))*(维护参数!$B$3)</f>
        <v>1045</v>
      </c>
      <c r="L54" s="21"/>
      <c r="M54" s="21"/>
      <c r="N54" s="21"/>
      <c r="O54" s="21"/>
      <c r="P54" s="22"/>
      <c r="Q54" s="16">
        <f>SUM(K54,P53)</f>
        <v>2053</v>
      </c>
      <c r="R54" s="18">
        <f t="shared" si="0"/>
        <v>0.418979591836735</v>
      </c>
      <c r="S54" s="16">
        <f t="shared" si="1"/>
        <v>2847</v>
      </c>
      <c r="T54" s="18">
        <f>S54/(C53)</f>
        <v>0.406714285714286</v>
      </c>
      <c r="U54" s="16">
        <f>S54*维护参数!$B$20</f>
        <v>1850.55</v>
      </c>
      <c r="V54" s="18">
        <f>U54/(C53)</f>
        <v>0.264364285714286</v>
      </c>
      <c r="W54" s="3"/>
      <c r="X54" s="3"/>
    </row>
    <row r="55" ht="15.2" spans="1:24">
      <c r="A55" s="3" t="s">
        <v>85</v>
      </c>
      <c r="B55" s="3" t="s">
        <v>75</v>
      </c>
      <c r="C55" s="9">
        <v>5500</v>
      </c>
      <c r="D55" s="9">
        <f>C55*0.6</f>
        <v>3300</v>
      </c>
      <c r="E55" s="14" t="s">
        <v>37</v>
      </c>
      <c r="F55" s="14" t="s">
        <v>37</v>
      </c>
      <c r="G55" s="3" t="s">
        <v>38</v>
      </c>
      <c r="H55" s="9">
        <f>(D55)*(1)</f>
        <v>3300</v>
      </c>
      <c r="I55" s="15">
        <f>ROUNDUP(C55*维护参数!$B$11/维护参数!$B$12*1000,0)</f>
        <v>146667</v>
      </c>
      <c r="J55" s="3" t="s">
        <v>39</v>
      </c>
      <c r="K55" s="16">
        <f>(MAX(维护参数!$B$4,ROUNDUP(I55/10000,0)))*(维护参数!$B$2)</f>
        <v>315</v>
      </c>
      <c r="L55" s="17">
        <f>ROUNDUP(C55*维护参数!$B$16/维护参数!$B$15/1000,0)*1000</f>
        <v>11000</v>
      </c>
      <c r="M55" s="17">
        <f>ROUNDUP(C55*维护参数!$B$17/维护参数!$B$15/10,0)*10</f>
        <v>110</v>
      </c>
      <c r="N55" s="17">
        <f>ROUNDUP(C55*维护参数!$B$18/维护参数!$B$15/10,0)*10</f>
        <v>110</v>
      </c>
      <c r="O55" s="17">
        <f>ROUNDUP(C55*维护参数!$B$19/维护参数!$B$15/10,0)*10</f>
        <v>170</v>
      </c>
      <c r="P55" s="16">
        <f>L55/1000*维护参数!$B$6+M55*维护参数!$B$7+N55*维护参数!$B$8+O55*维护参数!$B$9</f>
        <v>793</v>
      </c>
      <c r="Q55" s="16">
        <f>SUM(K55,P55)</f>
        <v>1108</v>
      </c>
      <c r="R55" s="18">
        <f t="shared" si="0"/>
        <v>0.335757575757576</v>
      </c>
      <c r="S55" s="16">
        <f t="shared" si="1"/>
        <v>2192</v>
      </c>
      <c r="T55" s="18">
        <f>S55/(C55)</f>
        <v>0.398545454545455</v>
      </c>
      <c r="U55" s="16">
        <f>S55*维护参数!$B$20</f>
        <v>1424.8</v>
      </c>
      <c r="V55" s="18">
        <f>U55/(C55)</f>
        <v>0.259054545454545</v>
      </c>
      <c r="W55" s="3" t="s">
        <v>86</v>
      </c>
      <c r="X55" s="3" t="s">
        <v>87</v>
      </c>
    </row>
    <row r="56" ht="15.2" spans="1:24">
      <c r="A56" s="3"/>
      <c r="B56" s="3"/>
      <c r="C56" s="20"/>
      <c r="D56" s="20"/>
      <c r="E56" s="20"/>
      <c r="F56" s="20"/>
      <c r="G56" s="3" t="s">
        <v>42</v>
      </c>
      <c r="H56" s="9">
        <f>(C55)*(维护参数!$B$10)</f>
        <v>3850</v>
      </c>
      <c r="I56" s="21"/>
      <c r="J56" s="3" t="s">
        <v>43</v>
      </c>
      <c r="K56" s="16">
        <f>(MAX(维护参数!$B$5,ROUNDUP(I55/10000,0)))*(维护参数!$B$3)</f>
        <v>825</v>
      </c>
      <c r="L56" s="21"/>
      <c r="M56" s="21"/>
      <c r="N56" s="21"/>
      <c r="O56" s="21"/>
      <c r="P56" s="22"/>
      <c r="Q56" s="16">
        <f>SUM(K56,P55)</f>
        <v>1618</v>
      </c>
      <c r="R56" s="18">
        <f t="shared" si="0"/>
        <v>0.42025974025974</v>
      </c>
      <c r="S56" s="16">
        <f t="shared" si="1"/>
        <v>2232</v>
      </c>
      <c r="T56" s="18">
        <f>S56/(C55)</f>
        <v>0.405818181818182</v>
      </c>
      <c r="U56" s="16">
        <f>S56*维护参数!$B$20</f>
        <v>1450.8</v>
      </c>
      <c r="V56" s="18">
        <f>U56/(C55)</f>
        <v>0.263781818181818</v>
      </c>
      <c r="W56" s="3"/>
      <c r="X56" s="3"/>
    </row>
    <row r="57" ht="15.2" spans="1:24">
      <c r="A57" s="3" t="s">
        <v>88</v>
      </c>
      <c r="B57" s="3" t="s">
        <v>51</v>
      </c>
      <c r="C57" s="9">
        <v>5000</v>
      </c>
      <c r="D57" s="9">
        <f>C57*0.6</f>
        <v>3000</v>
      </c>
      <c r="E57" s="14" t="s">
        <v>37</v>
      </c>
      <c r="F57" s="14" t="s">
        <v>37</v>
      </c>
      <c r="G57" s="3" t="s">
        <v>38</v>
      </c>
      <c r="H57" s="9">
        <f>(D57)*(1)</f>
        <v>3000</v>
      </c>
      <c r="I57" s="15">
        <f>ROUNDUP(C57*维护参数!$B$11/维护参数!$B$12*1000,0)</f>
        <v>133334</v>
      </c>
      <c r="J57" s="3" t="s">
        <v>39</v>
      </c>
      <c r="K57" s="16">
        <f>(MAX(维护参数!$B$4,ROUNDUP(I57/10000,0)))*(维护参数!$B$2)</f>
        <v>294</v>
      </c>
      <c r="L57" s="17">
        <f>ROUNDUP(C57*维护参数!$B$16/维护参数!$B$15/1000,0)*1000</f>
        <v>10000</v>
      </c>
      <c r="M57" s="17">
        <f>ROUNDUP(C57*维护参数!$B$17/维护参数!$B$15/10,0)*10</f>
        <v>100</v>
      </c>
      <c r="N57" s="17">
        <f>ROUNDUP(C57*维护参数!$B$18/维护参数!$B$15/10,0)*10</f>
        <v>100</v>
      </c>
      <c r="O57" s="17">
        <f>ROUNDUP(C57*维护参数!$B$19/维护参数!$B$15/10,0)*10</f>
        <v>150</v>
      </c>
      <c r="P57" s="16">
        <f>L57/1000*维护参数!$B$6+M57*维护参数!$B$7+N57*维护参数!$B$8+O57*维护参数!$B$9</f>
        <v>720</v>
      </c>
      <c r="Q57" s="16">
        <f>SUM(K57,P57)</f>
        <v>1014</v>
      </c>
      <c r="R57" s="18">
        <f t="shared" si="0"/>
        <v>0.338</v>
      </c>
      <c r="S57" s="16">
        <f t="shared" si="1"/>
        <v>1986</v>
      </c>
      <c r="T57" s="18">
        <f>S57/(C57)</f>
        <v>0.3972</v>
      </c>
      <c r="U57" s="16">
        <f>S57*维护参数!$B$20</f>
        <v>1290.9</v>
      </c>
      <c r="V57" s="18">
        <f>U57/(C57)</f>
        <v>0.25818</v>
      </c>
      <c r="W57" s="3" t="s">
        <v>86</v>
      </c>
      <c r="X57" s="3" t="s">
        <v>89</v>
      </c>
    </row>
    <row r="58" ht="15.2" spans="1:24">
      <c r="A58" s="3"/>
      <c r="B58" s="3"/>
      <c r="C58" s="20"/>
      <c r="D58" s="20"/>
      <c r="E58" s="20"/>
      <c r="F58" s="20"/>
      <c r="G58" s="3" t="s">
        <v>42</v>
      </c>
      <c r="H58" s="9">
        <f>(C57)*(维护参数!$B$10)</f>
        <v>3500</v>
      </c>
      <c r="I58" s="21"/>
      <c r="J58" s="3" t="s">
        <v>43</v>
      </c>
      <c r="K58" s="16">
        <f>(MAX(维护参数!$B$5,ROUNDUP(I57/10000,0)))*(维护参数!$B$3)</f>
        <v>770</v>
      </c>
      <c r="L58" s="21"/>
      <c r="M58" s="21"/>
      <c r="N58" s="21"/>
      <c r="O58" s="21"/>
      <c r="P58" s="22"/>
      <c r="Q58" s="16">
        <f>SUM(K58,P57)</f>
        <v>1490</v>
      </c>
      <c r="R58" s="18">
        <f t="shared" si="0"/>
        <v>0.425714285714286</v>
      </c>
      <c r="S58" s="16">
        <f t="shared" si="1"/>
        <v>2010</v>
      </c>
      <c r="T58" s="18">
        <f>S58/(C57)</f>
        <v>0.402</v>
      </c>
      <c r="U58" s="16">
        <f>S58*维护参数!$B$20</f>
        <v>1306.5</v>
      </c>
      <c r="V58" s="18">
        <f>U58/(C57)</f>
        <v>0.2613</v>
      </c>
      <c r="W58" s="3"/>
      <c r="X58" s="3"/>
    </row>
    <row r="59" ht="15.2" spans="1:24">
      <c r="A59" s="3" t="s">
        <v>90</v>
      </c>
      <c r="B59" s="3" t="s">
        <v>51</v>
      </c>
      <c r="C59" s="9">
        <v>5000</v>
      </c>
      <c r="D59" s="9">
        <f>C59*0.6</f>
        <v>3000</v>
      </c>
      <c r="E59" s="14" t="s">
        <v>37</v>
      </c>
      <c r="F59" s="14" t="s">
        <v>37</v>
      </c>
      <c r="G59" s="3" t="s">
        <v>38</v>
      </c>
      <c r="H59" s="9">
        <f>(D59)*(1)</f>
        <v>3000</v>
      </c>
      <c r="I59" s="15">
        <f>ROUNDUP(C59*维护参数!$B$11/维护参数!$B$12*1000,0)</f>
        <v>133334</v>
      </c>
      <c r="J59" s="3" t="s">
        <v>39</v>
      </c>
      <c r="K59" s="16">
        <f>(MAX(维护参数!$B$4,ROUNDUP(I59/10000,0)))*(维护参数!$B$2)</f>
        <v>294</v>
      </c>
      <c r="L59" s="17">
        <f>ROUNDUP(C59*维护参数!$B$16/维护参数!$B$15/1000,0)*1000</f>
        <v>10000</v>
      </c>
      <c r="M59" s="17">
        <f>ROUNDUP(C59*维护参数!$B$17/维护参数!$B$15/10,0)*10</f>
        <v>100</v>
      </c>
      <c r="N59" s="17">
        <f>ROUNDUP(C59*维护参数!$B$18/维护参数!$B$15/10,0)*10</f>
        <v>100</v>
      </c>
      <c r="O59" s="17">
        <f>ROUNDUP(C59*维护参数!$B$19/维护参数!$B$15/10,0)*10</f>
        <v>150</v>
      </c>
      <c r="P59" s="16">
        <f>L59/1000*维护参数!$B$6+M59*维护参数!$B$7+N59*维护参数!$B$8+O59*维护参数!$B$9</f>
        <v>720</v>
      </c>
      <c r="Q59" s="16">
        <f>SUM(K59,P59)</f>
        <v>1014</v>
      </c>
      <c r="R59" s="18">
        <f t="shared" si="0"/>
        <v>0.338</v>
      </c>
      <c r="S59" s="16">
        <f t="shared" si="1"/>
        <v>1986</v>
      </c>
      <c r="T59" s="18">
        <f>S59/(C59)</f>
        <v>0.3972</v>
      </c>
      <c r="U59" s="16">
        <f>S59*维护参数!$B$20</f>
        <v>1290.9</v>
      </c>
      <c r="V59" s="18">
        <f>U59/(C59)</f>
        <v>0.25818</v>
      </c>
      <c r="W59" s="3" t="s">
        <v>86</v>
      </c>
      <c r="X59" s="3" t="s">
        <v>91</v>
      </c>
    </row>
    <row r="60" ht="15.2" spans="1:24">
      <c r="A60" s="3"/>
      <c r="B60" s="3"/>
      <c r="C60" s="20"/>
      <c r="D60" s="20"/>
      <c r="E60" s="20"/>
      <c r="F60" s="20"/>
      <c r="G60" s="3" t="s">
        <v>42</v>
      </c>
      <c r="H60" s="9">
        <f>(C59)*(维护参数!$B$10)</f>
        <v>3500</v>
      </c>
      <c r="I60" s="21"/>
      <c r="J60" s="3" t="s">
        <v>43</v>
      </c>
      <c r="K60" s="16">
        <f>(MAX(维护参数!$B$5,ROUNDUP(I59/10000,0)))*(维护参数!$B$3)</f>
        <v>770</v>
      </c>
      <c r="L60" s="21"/>
      <c r="M60" s="21"/>
      <c r="N60" s="21"/>
      <c r="O60" s="21"/>
      <c r="P60" s="22"/>
      <c r="Q60" s="16">
        <f>SUM(K60,P59)</f>
        <v>1490</v>
      </c>
      <c r="R60" s="18">
        <f t="shared" si="0"/>
        <v>0.425714285714286</v>
      </c>
      <c r="S60" s="16">
        <f t="shared" si="1"/>
        <v>2010</v>
      </c>
      <c r="T60" s="18">
        <f>S60/(C59)</f>
        <v>0.402</v>
      </c>
      <c r="U60" s="16">
        <f>S60*维护参数!$B$20</f>
        <v>1306.5</v>
      </c>
      <c r="V60" s="18">
        <f>U60/(C59)</f>
        <v>0.2613</v>
      </c>
      <c r="W60" s="3"/>
      <c r="X60" s="3"/>
    </row>
    <row r="61" ht="15.2" spans="1:24">
      <c r="A61" s="3" t="s">
        <v>92</v>
      </c>
      <c r="B61" s="3" t="s">
        <v>51</v>
      </c>
      <c r="C61" s="9">
        <v>5000</v>
      </c>
      <c r="D61" s="9">
        <f>C61*0.6</f>
        <v>3000</v>
      </c>
      <c r="E61" s="14" t="s">
        <v>37</v>
      </c>
      <c r="F61" s="14" t="s">
        <v>37</v>
      </c>
      <c r="G61" s="3" t="s">
        <v>38</v>
      </c>
      <c r="H61" s="9">
        <f>(D61)*(1)</f>
        <v>3000</v>
      </c>
      <c r="I61" s="15">
        <f>ROUNDUP(C61*维护参数!$B$11/维护参数!$B$12*1000,0)</f>
        <v>133334</v>
      </c>
      <c r="J61" s="3" t="s">
        <v>39</v>
      </c>
      <c r="K61" s="16">
        <f>(MAX(维护参数!$B$4,ROUNDUP(I61/10000,0)))*(维护参数!$B$2)</f>
        <v>294</v>
      </c>
      <c r="L61" s="17">
        <f>ROUNDUP(C61*维护参数!$B$16/维护参数!$B$15/1000,0)*1000</f>
        <v>10000</v>
      </c>
      <c r="M61" s="17">
        <f>ROUNDUP(C61*维护参数!$B$17/维护参数!$B$15/10,0)*10</f>
        <v>100</v>
      </c>
      <c r="N61" s="17">
        <f>ROUNDUP(C61*维护参数!$B$18/维护参数!$B$15/10,0)*10</f>
        <v>100</v>
      </c>
      <c r="O61" s="17">
        <f>ROUNDUP(C61*维护参数!$B$19/维护参数!$B$15/10,0)*10</f>
        <v>150</v>
      </c>
      <c r="P61" s="16">
        <f>L61/1000*维护参数!$B$6+M61*维护参数!$B$7+N61*维护参数!$B$8+O61*维护参数!$B$9</f>
        <v>720</v>
      </c>
      <c r="Q61" s="16">
        <f>SUM(K61,P61)</f>
        <v>1014</v>
      </c>
      <c r="R61" s="18">
        <f t="shared" si="0"/>
        <v>0.338</v>
      </c>
      <c r="S61" s="16">
        <f t="shared" si="1"/>
        <v>1986</v>
      </c>
      <c r="T61" s="18">
        <f>S61/(C61)</f>
        <v>0.3972</v>
      </c>
      <c r="U61" s="16">
        <f>S61*维护参数!$B$20</f>
        <v>1290.9</v>
      </c>
      <c r="V61" s="18">
        <f>U61/(C61)</f>
        <v>0.25818</v>
      </c>
      <c r="W61" s="3" t="s">
        <v>86</v>
      </c>
      <c r="X61" s="3" t="s">
        <v>93</v>
      </c>
    </row>
    <row r="62" ht="15.2" spans="1:24">
      <c r="A62" s="3"/>
      <c r="B62" s="3"/>
      <c r="C62" s="20"/>
      <c r="D62" s="20"/>
      <c r="E62" s="20"/>
      <c r="F62" s="20"/>
      <c r="G62" s="3" t="s">
        <v>42</v>
      </c>
      <c r="H62" s="9">
        <f>(C61)*(维护参数!$B$10)</f>
        <v>3500</v>
      </c>
      <c r="I62" s="21"/>
      <c r="J62" s="3" t="s">
        <v>43</v>
      </c>
      <c r="K62" s="16">
        <f>(MAX(维护参数!$B$5,ROUNDUP(I61/10000,0)))*(维护参数!$B$3)</f>
        <v>770</v>
      </c>
      <c r="L62" s="21"/>
      <c r="M62" s="21"/>
      <c r="N62" s="21"/>
      <c r="O62" s="21"/>
      <c r="P62" s="22"/>
      <c r="Q62" s="16">
        <f>SUM(K62,P61)</f>
        <v>1490</v>
      </c>
      <c r="R62" s="18">
        <f t="shared" si="0"/>
        <v>0.425714285714286</v>
      </c>
      <c r="S62" s="16">
        <f t="shared" si="1"/>
        <v>2010</v>
      </c>
      <c r="T62" s="18">
        <f>S62/(C61)</f>
        <v>0.402</v>
      </c>
      <c r="U62" s="16">
        <f>S62*维护参数!$B$20</f>
        <v>1306.5</v>
      </c>
      <c r="V62" s="18">
        <f>U62/(C61)</f>
        <v>0.2613</v>
      </c>
      <c r="W62" s="3"/>
      <c r="X62" s="3"/>
    </row>
    <row r="63" ht="15.2" spans="1:24">
      <c r="A63" s="3" t="s">
        <v>94</v>
      </c>
      <c r="B63" s="3" t="s">
        <v>51</v>
      </c>
      <c r="C63" s="9">
        <v>7800</v>
      </c>
      <c r="D63" s="9">
        <f>C63*0.6</f>
        <v>4680</v>
      </c>
      <c r="E63" s="14" t="s">
        <v>37</v>
      </c>
      <c r="F63" s="14" t="s">
        <v>37</v>
      </c>
      <c r="G63" s="3" t="s">
        <v>38</v>
      </c>
      <c r="H63" s="9">
        <f>(D63)*(1)</f>
        <v>4680</v>
      </c>
      <c r="I63" s="15">
        <f>ROUNDUP(C63*维护参数!$B$11/维护参数!$B$12*1000,0)</f>
        <v>208000</v>
      </c>
      <c r="J63" s="3" t="s">
        <v>39</v>
      </c>
      <c r="K63" s="16">
        <f>(MAX(维护参数!$B$4,ROUNDUP(I63/10000,0)))*(维护参数!$B$2)</f>
        <v>441</v>
      </c>
      <c r="L63" s="17">
        <f>ROUNDUP(C63*维护参数!$B$16/维护参数!$B$15/1000,0)*1000</f>
        <v>16000</v>
      </c>
      <c r="M63" s="17">
        <f>ROUNDUP(C63*维护参数!$B$17/维护参数!$B$15/10,0)*10</f>
        <v>160</v>
      </c>
      <c r="N63" s="17">
        <f>ROUNDUP(C63*维护参数!$B$18/维护参数!$B$15/10,0)*10</f>
        <v>160</v>
      </c>
      <c r="O63" s="17">
        <f>ROUNDUP(C63*维护参数!$B$19/维护参数!$B$15/10,0)*10</f>
        <v>240</v>
      </c>
      <c r="P63" s="16">
        <f>L63/1000*维护参数!$B$6+M63*维护参数!$B$7+N63*维护参数!$B$8+O63*维护参数!$B$9</f>
        <v>1152</v>
      </c>
      <c r="Q63" s="16">
        <f>SUM(K63,P63)</f>
        <v>1593</v>
      </c>
      <c r="R63" s="18">
        <f t="shared" si="0"/>
        <v>0.340384615384615</v>
      </c>
      <c r="S63" s="16">
        <f t="shared" si="1"/>
        <v>3087</v>
      </c>
      <c r="T63" s="18">
        <f>S63/(C63)</f>
        <v>0.395769230769231</v>
      </c>
      <c r="U63" s="16">
        <f>S63*维护参数!$B$20</f>
        <v>2006.55</v>
      </c>
      <c r="V63" s="18">
        <f>U63/(C63)</f>
        <v>0.25725</v>
      </c>
      <c r="W63" s="3" t="s">
        <v>95</v>
      </c>
      <c r="X63" s="3" t="s">
        <v>96</v>
      </c>
    </row>
    <row r="64" ht="15.2" spans="1:24">
      <c r="A64" s="3"/>
      <c r="B64" s="3"/>
      <c r="C64" s="20"/>
      <c r="D64" s="20"/>
      <c r="E64" s="20"/>
      <c r="F64" s="20"/>
      <c r="G64" s="3" t="s">
        <v>42</v>
      </c>
      <c r="H64" s="9">
        <f>(C63)*(维护参数!$B$10)</f>
        <v>5460</v>
      </c>
      <c r="I64" s="21"/>
      <c r="J64" s="3" t="s">
        <v>43</v>
      </c>
      <c r="K64" s="16">
        <f>(MAX(维护参数!$B$5,ROUNDUP(I63/10000,0)))*(维护参数!$B$3)</f>
        <v>1155</v>
      </c>
      <c r="L64" s="21"/>
      <c r="M64" s="21"/>
      <c r="N64" s="21"/>
      <c r="O64" s="21"/>
      <c r="P64" s="22"/>
      <c r="Q64" s="16">
        <f>SUM(K64,P63)</f>
        <v>2307</v>
      </c>
      <c r="R64" s="18">
        <f t="shared" si="0"/>
        <v>0.422527472527473</v>
      </c>
      <c r="S64" s="16">
        <f t="shared" si="1"/>
        <v>3153</v>
      </c>
      <c r="T64" s="18">
        <f>S64/(C63)</f>
        <v>0.404230769230769</v>
      </c>
      <c r="U64" s="16">
        <f>S64*维护参数!$B$20</f>
        <v>2049.45</v>
      </c>
      <c r="V64" s="18">
        <f>U64/(C63)</f>
        <v>0.26275</v>
      </c>
      <c r="W64" s="3"/>
      <c r="X64" s="3"/>
    </row>
    <row r="65" ht="15.2" spans="1:24">
      <c r="A65" s="3" t="s">
        <v>97</v>
      </c>
      <c r="B65" s="3" t="s">
        <v>75</v>
      </c>
      <c r="C65" s="9">
        <v>7400</v>
      </c>
      <c r="D65" s="9">
        <f>C65*0.6</f>
        <v>4440</v>
      </c>
      <c r="E65" s="14" t="s">
        <v>37</v>
      </c>
      <c r="F65" s="14" t="s">
        <v>37</v>
      </c>
      <c r="G65" s="3" t="s">
        <v>38</v>
      </c>
      <c r="H65" s="9">
        <f>(D65)*(1)</f>
        <v>4440</v>
      </c>
      <c r="I65" s="15">
        <f>ROUNDUP(C65*维护参数!$B$11/维护参数!$B$12*1000,0)</f>
        <v>197334</v>
      </c>
      <c r="J65" s="3" t="s">
        <v>39</v>
      </c>
      <c r="K65" s="16">
        <f>(MAX(维护参数!$B$4,ROUNDUP(I65/10000,0)))*(维护参数!$B$2)</f>
        <v>420</v>
      </c>
      <c r="L65" s="17">
        <f>ROUNDUP(C65*维护参数!$B$16/维护参数!$B$15/1000,0)*1000</f>
        <v>15000</v>
      </c>
      <c r="M65" s="17">
        <f>ROUNDUP(C65*维护参数!$B$17/维护参数!$B$15/10,0)*10</f>
        <v>150</v>
      </c>
      <c r="N65" s="17">
        <f>ROUNDUP(C65*维护参数!$B$18/维护参数!$B$15/10,0)*10</f>
        <v>150</v>
      </c>
      <c r="O65" s="17">
        <f>ROUNDUP(C65*维护参数!$B$19/维护参数!$B$15/10,0)*10</f>
        <v>230</v>
      </c>
      <c r="P65" s="16">
        <f>L65/1000*维护参数!$B$6+M65*维护参数!$B$7+N65*维护参数!$B$8+O65*维护参数!$B$9</f>
        <v>1081</v>
      </c>
      <c r="Q65" s="16">
        <f>SUM(K65,P65)</f>
        <v>1501</v>
      </c>
      <c r="R65" s="18">
        <f t="shared" si="0"/>
        <v>0.338063063063063</v>
      </c>
      <c r="S65" s="16">
        <f t="shared" si="1"/>
        <v>2939</v>
      </c>
      <c r="T65" s="18">
        <f>S65/(C65)</f>
        <v>0.397162162162162</v>
      </c>
      <c r="U65" s="16">
        <f>S65*维护参数!$B$20</f>
        <v>1910.35</v>
      </c>
      <c r="V65" s="18">
        <f>U65/(C65)</f>
        <v>0.258155405405405</v>
      </c>
      <c r="W65" s="3" t="s">
        <v>95</v>
      </c>
      <c r="X65" s="3" t="s">
        <v>98</v>
      </c>
    </row>
    <row r="66" ht="15.2" spans="1:24">
      <c r="A66" s="3"/>
      <c r="B66" s="3"/>
      <c r="C66" s="20"/>
      <c r="D66" s="20"/>
      <c r="E66" s="20"/>
      <c r="F66" s="20"/>
      <c r="G66" s="3" t="s">
        <v>42</v>
      </c>
      <c r="H66" s="9">
        <f>(C65)*(维护参数!$B$10)</f>
        <v>5180</v>
      </c>
      <c r="I66" s="21"/>
      <c r="J66" s="3" t="s">
        <v>43</v>
      </c>
      <c r="K66" s="16">
        <f>(MAX(维护参数!$B$5,ROUNDUP(I65/10000,0)))*(维护参数!$B$3)</f>
        <v>1100</v>
      </c>
      <c r="L66" s="21"/>
      <c r="M66" s="21"/>
      <c r="N66" s="21"/>
      <c r="O66" s="21"/>
      <c r="P66" s="22"/>
      <c r="Q66" s="16">
        <f>SUM(K66,P65)</f>
        <v>2181</v>
      </c>
      <c r="R66" s="18">
        <f t="shared" si="0"/>
        <v>0.421042471042471</v>
      </c>
      <c r="S66" s="16">
        <f t="shared" si="1"/>
        <v>2999</v>
      </c>
      <c r="T66" s="18">
        <f>S66/(C65)</f>
        <v>0.40527027027027</v>
      </c>
      <c r="U66" s="16">
        <f>S66*维护参数!$B$20</f>
        <v>1949.35</v>
      </c>
      <c r="V66" s="18">
        <f>U66/(C65)</f>
        <v>0.263425675675676</v>
      </c>
      <c r="W66" s="3"/>
      <c r="X66" s="3"/>
    </row>
    <row r="67" ht="15.2" spans="1:24">
      <c r="A67" s="3" t="s">
        <v>99</v>
      </c>
      <c r="B67" s="3" t="s">
        <v>51</v>
      </c>
      <c r="C67" s="9">
        <v>5000</v>
      </c>
      <c r="D67" s="9">
        <f>C67*0.6</f>
        <v>3000</v>
      </c>
      <c r="E67" s="14" t="s">
        <v>37</v>
      </c>
      <c r="F67" s="14" t="s">
        <v>37</v>
      </c>
      <c r="G67" s="3" t="s">
        <v>38</v>
      </c>
      <c r="H67" s="9">
        <f>(D67)*(1)</f>
        <v>3000</v>
      </c>
      <c r="I67" s="15">
        <f>ROUNDUP(C67*维护参数!$B$11/维护参数!$B$12*1000,0)</f>
        <v>133334</v>
      </c>
      <c r="J67" s="3" t="s">
        <v>39</v>
      </c>
      <c r="K67" s="16">
        <f>(MAX(维护参数!$B$4,ROUNDUP(I67/10000,0)))*(维护参数!$B$2)</f>
        <v>294</v>
      </c>
      <c r="L67" s="17">
        <f>ROUNDUP(C67*维护参数!$B$16/维护参数!$B$15/1000,0)*1000</f>
        <v>10000</v>
      </c>
      <c r="M67" s="17">
        <f>ROUNDUP(C67*维护参数!$B$17/维护参数!$B$15/10,0)*10</f>
        <v>100</v>
      </c>
      <c r="N67" s="17">
        <f>ROUNDUP(C67*维护参数!$B$18/维护参数!$B$15/10,0)*10</f>
        <v>100</v>
      </c>
      <c r="O67" s="17">
        <f>ROUNDUP(C67*维护参数!$B$19/维护参数!$B$15/10,0)*10</f>
        <v>150</v>
      </c>
      <c r="P67" s="16">
        <f>L67/1000*维护参数!$B$6+M67*维护参数!$B$7+N67*维护参数!$B$8+O67*维护参数!$B$9</f>
        <v>720</v>
      </c>
      <c r="Q67" s="16">
        <f>SUM(K67,P67)</f>
        <v>1014</v>
      </c>
      <c r="R67" s="18">
        <f t="shared" si="0"/>
        <v>0.338</v>
      </c>
      <c r="S67" s="16">
        <f t="shared" si="1"/>
        <v>1986</v>
      </c>
      <c r="T67" s="18">
        <f>S67/(C67)</f>
        <v>0.3972</v>
      </c>
      <c r="U67" s="16">
        <f>S67*维护参数!$B$20</f>
        <v>1290.9</v>
      </c>
      <c r="V67" s="18">
        <f>U67/(C67)</f>
        <v>0.25818</v>
      </c>
      <c r="W67" s="3" t="s">
        <v>95</v>
      </c>
      <c r="X67" s="3" t="s">
        <v>100</v>
      </c>
    </row>
    <row r="68" ht="15.2" spans="1:24">
      <c r="A68" s="3"/>
      <c r="B68" s="3"/>
      <c r="C68" s="20"/>
      <c r="D68" s="20"/>
      <c r="E68" s="20"/>
      <c r="F68" s="20"/>
      <c r="G68" s="3" t="s">
        <v>42</v>
      </c>
      <c r="H68" s="9">
        <f>(C67)*(维护参数!$B$10)</f>
        <v>3500</v>
      </c>
      <c r="I68" s="21"/>
      <c r="J68" s="3" t="s">
        <v>43</v>
      </c>
      <c r="K68" s="16">
        <f>(MAX(维护参数!$B$5,ROUNDUP(I67/10000,0)))*(维护参数!$B$3)</f>
        <v>770</v>
      </c>
      <c r="L68" s="21"/>
      <c r="M68" s="21"/>
      <c r="N68" s="21"/>
      <c r="O68" s="21"/>
      <c r="P68" s="22"/>
      <c r="Q68" s="16">
        <f>SUM(K68,P67)</f>
        <v>1490</v>
      </c>
      <c r="R68" s="18">
        <f t="shared" si="0"/>
        <v>0.425714285714286</v>
      </c>
      <c r="S68" s="16">
        <f t="shared" si="1"/>
        <v>2010</v>
      </c>
      <c r="T68" s="18">
        <f>S68/(C67)</f>
        <v>0.402</v>
      </c>
      <c r="U68" s="16">
        <f>S68*维护参数!$B$20</f>
        <v>1306.5</v>
      </c>
      <c r="V68" s="18">
        <f>U68/(C67)</f>
        <v>0.2613</v>
      </c>
      <c r="W68" s="3"/>
      <c r="X68" s="3"/>
    </row>
    <row r="69" ht="15.2"/>
    <row r="70" ht="15.2"/>
    <row r="71" ht="15.2"/>
    <row r="72" ht="15.2"/>
    <row r="73" ht="15.2"/>
    <row r="74" ht="15.2"/>
    <row r="75" ht="15.2"/>
    <row r="76" ht="15.2"/>
  </sheetData>
  <mergeCells count="411">
    <mergeCell ref="A1:Y1"/>
    <mergeCell ref="A2:U2"/>
    <mergeCell ref="A22:Y22"/>
    <mergeCell ref="Z22:AW22"/>
    <mergeCell ref="A23:AW23"/>
    <mergeCell ref="A4:A5"/>
    <mergeCell ref="A6:A7"/>
    <mergeCell ref="A8:A9"/>
    <mergeCell ref="A10:A11"/>
    <mergeCell ref="A12:A13"/>
    <mergeCell ref="A14:A15"/>
    <mergeCell ref="A16:A17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B4:B5"/>
    <mergeCell ref="B6:B7"/>
    <mergeCell ref="B8:B9"/>
    <mergeCell ref="B10:B11"/>
    <mergeCell ref="B12:B13"/>
    <mergeCell ref="B14:B15"/>
    <mergeCell ref="B16:B17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C4:C5"/>
    <mergeCell ref="C6:C7"/>
    <mergeCell ref="C8:C9"/>
    <mergeCell ref="C10:C11"/>
    <mergeCell ref="C12:C13"/>
    <mergeCell ref="C14:C15"/>
    <mergeCell ref="C16:C17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D4:D5"/>
    <mergeCell ref="D6:D7"/>
    <mergeCell ref="D8:D9"/>
    <mergeCell ref="D10:D11"/>
    <mergeCell ref="D12:D13"/>
    <mergeCell ref="D14:D15"/>
    <mergeCell ref="D16:D17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E4:E5"/>
    <mergeCell ref="E6:E7"/>
    <mergeCell ref="E8:E9"/>
    <mergeCell ref="E10:E11"/>
    <mergeCell ref="E12:E13"/>
    <mergeCell ref="E14:E15"/>
    <mergeCell ref="E16:E17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F4:F5"/>
    <mergeCell ref="F6:F7"/>
    <mergeCell ref="F8:F9"/>
    <mergeCell ref="F10:F11"/>
    <mergeCell ref="F12:F13"/>
    <mergeCell ref="F14:F15"/>
    <mergeCell ref="F16:F17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H4:H5"/>
    <mergeCell ref="H6:H7"/>
    <mergeCell ref="H8:H9"/>
    <mergeCell ref="H10:H11"/>
    <mergeCell ref="H12:H13"/>
    <mergeCell ref="H14:H15"/>
    <mergeCell ref="H16:H17"/>
    <mergeCell ref="I4:I5"/>
    <mergeCell ref="I6:I7"/>
    <mergeCell ref="I8:I9"/>
    <mergeCell ref="I10:I11"/>
    <mergeCell ref="I12:I13"/>
    <mergeCell ref="I14:I15"/>
    <mergeCell ref="I16:I17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J4:J5"/>
    <mergeCell ref="J6:J7"/>
    <mergeCell ref="J8:J9"/>
    <mergeCell ref="J10:J11"/>
    <mergeCell ref="J12:J13"/>
    <mergeCell ref="J14:J15"/>
    <mergeCell ref="J16:J17"/>
    <mergeCell ref="K4:K5"/>
    <mergeCell ref="K6:K7"/>
    <mergeCell ref="K8:K9"/>
    <mergeCell ref="K10:K11"/>
    <mergeCell ref="K12:K13"/>
    <mergeCell ref="K14:K15"/>
    <mergeCell ref="K16:K17"/>
    <mergeCell ref="L4:L5"/>
    <mergeCell ref="L6:L7"/>
    <mergeCell ref="L8:L9"/>
    <mergeCell ref="L10:L11"/>
    <mergeCell ref="L12:L13"/>
    <mergeCell ref="L14:L15"/>
    <mergeCell ref="L16:L17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M4:M5"/>
    <mergeCell ref="M6:M7"/>
    <mergeCell ref="M8:M9"/>
    <mergeCell ref="M10:M11"/>
    <mergeCell ref="M12:M13"/>
    <mergeCell ref="M14:M15"/>
    <mergeCell ref="M16:M17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P4:P5"/>
    <mergeCell ref="P6:P7"/>
    <mergeCell ref="P8:P9"/>
    <mergeCell ref="P10:P11"/>
    <mergeCell ref="P12:P13"/>
    <mergeCell ref="P14:P15"/>
    <mergeCell ref="P16:P17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Q4:Q5"/>
    <mergeCell ref="Q6:Q7"/>
    <mergeCell ref="Q8:Q9"/>
    <mergeCell ref="Q10:Q11"/>
    <mergeCell ref="Q12:Q13"/>
    <mergeCell ref="Q14:Q15"/>
    <mergeCell ref="Q16:Q17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X25:X26"/>
    <mergeCell ref="X27:X28"/>
    <mergeCell ref="X29:X30"/>
    <mergeCell ref="X31:X32"/>
    <mergeCell ref="X33:X34"/>
    <mergeCell ref="X35:X36"/>
    <mergeCell ref="X37:X38"/>
    <mergeCell ref="X39:X40"/>
    <mergeCell ref="X41:X42"/>
    <mergeCell ref="X43:X44"/>
    <mergeCell ref="X45:X46"/>
    <mergeCell ref="X47:X48"/>
    <mergeCell ref="X49:X50"/>
    <mergeCell ref="X51:X52"/>
    <mergeCell ref="X53:X54"/>
    <mergeCell ref="X55:X56"/>
    <mergeCell ref="X57:X58"/>
    <mergeCell ref="X59:X60"/>
    <mergeCell ref="X61:X62"/>
    <mergeCell ref="X63:X64"/>
    <mergeCell ref="X65:X66"/>
    <mergeCell ref="X67:X68"/>
  </mergeCells>
  <hyperlinks>
    <hyperlink ref="X18" r:id="rId1"/>
    <hyperlink ref="X20" r:id="rId2"/>
    <hyperlink ref="X22" r:id="rId3"/>
    <hyperlink ref="X24" r:id="rId4" display="主页链接"/>
    <hyperlink ref="X26" r:id="rId5"/>
    <hyperlink ref="X28" r:id="rId6"/>
    <hyperlink ref="X30" r:id="rId7"/>
    <hyperlink ref="X32" r:id="rId8"/>
    <hyperlink ref="X34" r:id="rId9"/>
    <hyperlink ref="X36" r:id="rId10"/>
    <hyperlink ref="X38" r:id="rId11"/>
    <hyperlink ref="X40" r:id="rId12"/>
    <hyperlink ref="X42" r:id="rId13"/>
    <hyperlink ref="X44" r:id="rId14"/>
    <hyperlink ref="X46" r:id="rId15"/>
    <hyperlink ref="X48" r:id="rId16"/>
    <hyperlink ref="X50" r:id="rId17"/>
    <hyperlink ref="X52" r:id="rId18"/>
    <hyperlink ref="X54" r:id="rId19"/>
    <hyperlink ref="X56" r:id="rId20"/>
    <hyperlink ref="X58" r:id="rId21"/>
    <hyperlink ref="X60" r:id="rId2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11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12</v>
      </c>
      <c r="C9" s="8" t="s">
        <v>33</v>
      </c>
      <c r="D9" s="9" t="s">
        <v>13</v>
      </c>
      <c r="E9" s="9" t="s">
        <v>14</v>
      </c>
      <c r="F9" s="10" t="s">
        <v>15</v>
      </c>
      <c r="G9" s="10" t="s">
        <v>16</v>
      </c>
      <c r="H9" s="8" t="s">
        <v>17</v>
      </c>
      <c r="I9" s="11" t="s">
        <v>18</v>
      </c>
      <c r="J9" s="12" t="s">
        <v>19</v>
      </c>
      <c r="K9" s="8" t="s">
        <v>20</v>
      </c>
      <c r="L9" s="13" t="s">
        <v>21</v>
      </c>
      <c r="M9" s="13" t="s">
        <v>22</v>
      </c>
      <c r="N9" s="8" t="s">
        <v>23</v>
      </c>
      <c r="O9" s="8" t="s">
        <v>24</v>
      </c>
      <c r="P9" s="8" t="s">
        <v>25</v>
      </c>
      <c r="Q9" s="8" t="s">
        <v>26</v>
      </c>
      <c r="R9" s="8" t="s">
        <v>27</v>
      </c>
      <c r="S9" s="8" t="s">
        <v>28</v>
      </c>
      <c r="T9" s="13" t="s">
        <v>29</v>
      </c>
      <c r="U9" s="13" t="s">
        <v>30</v>
      </c>
      <c r="V9" s="13" t="s">
        <v>31</v>
      </c>
      <c r="W9" s="13" t="s">
        <v>32</v>
      </c>
      <c r="X9" s="8" t="s">
        <v>33</v>
      </c>
      <c r="Y9" s="8" t="s">
        <v>34</v>
      </c>
    </row>
    <row r="10" s="5" customFormat="1" ht="22" customHeight="1" spans="1:25">
      <c r="A10" s="3" t="s">
        <v>35</v>
      </c>
      <c r="B10" s="3" t="s">
        <v>36</v>
      </c>
      <c r="C10" s="3"/>
      <c r="D10" s="9">
        <v>10500</v>
      </c>
      <c r="E10" s="9">
        <f>D10*0.6</f>
        <v>6300</v>
      </c>
      <c r="F10" s="14" t="s">
        <v>37</v>
      </c>
      <c r="G10" s="14" t="s">
        <v>37</v>
      </c>
      <c r="H10" s="3" t="s">
        <v>38</v>
      </c>
      <c r="I10" s="9">
        <f>(E10)*(1)</f>
        <v>6300</v>
      </c>
      <c r="J10" s="15">
        <f>ROUNDUP(D10*维护参数!$B$11/维护参数!$B$12*1000,0)</f>
        <v>280000</v>
      </c>
      <c r="K10" s="3" t="s">
        <v>39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40</v>
      </c>
      <c r="Y10" s="2" t="s">
        <v>41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42</v>
      </c>
      <c r="I11" s="9">
        <f>(D10)*(维护参数!$B$10)</f>
        <v>7350</v>
      </c>
      <c r="J11" s="21"/>
      <c r="K11" s="3" t="s">
        <v>43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44</v>
      </c>
      <c r="B12" s="3" t="s">
        <v>45</v>
      </c>
      <c r="C12" s="3"/>
      <c r="D12" s="9">
        <v>11700</v>
      </c>
      <c r="E12" s="9">
        <f>D12*0.6</f>
        <v>7020</v>
      </c>
      <c r="F12" s="14" t="s">
        <v>37</v>
      </c>
      <c r="G12" s="14" t="s">
        <v>37</v>
      </c>
      <c r="H12" s="3" t="s">
        <v>38</v>
      </c>
      <c r="I12" s="9">
        <f>(E12)*(1)</f>
        <v>7020</v>
      </c>
      <c r="J12" s="15">
        <f>ROUNDUP(D12*维护参数!$B$11/维护参数!$B$12*1000,0)</f>
        <v>312000</v>
      </c>
      <c r="K12" s="3" t="s">
        <v>39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46</v>
      </c>
      <c r="Y12" s="25" t="s">
        <v>47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42</v>
      </c>
      <c r="I13" s="9">
        <f>(D12)*(维护参数!$B$10)</f>
        <v>8190</v>
      </c>
      <c r="J13" s="21"/>
      <c r="K13" s="3" t="s">
        <v>43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48</v>
      </c>
      <c r="B14" s="3" t="s">
        <v>45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38</v>
      </c>
      <c r="I14" s="9">
        <f>(E14)*(1)</f>
        <v>3600</v>
      </c>
      <c r="J14" s="15">
        <f>ROUNDUP(D14*维护参数!$B$11/维护参数!$B$12*1000,0)</f>
        <v>160000</v>
      </c>
      <c r="K14" s="3" t="s">
        <v>39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49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42</v>
      </c>
      <c r="I15" s="9">
        <f>(D14)*(维护参数!$B$10)</f>
        <v>4200</v>
      </c>
      <c r="J15" s="21"/>
      <c r="K15" s="3" t="s">
        <v>43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50</v>
      </c>
      <c r="B16" s="3" t="s">
        <v>51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38</v>
      </c>
      <c r="I16" s="9">
        <f>(E16)*(1)</f>
        <v>3750</v>
      </c>
      <c r="J16" s="15">
        <f>ROUNDUP(D16*维护参数!$B$11/维护参数!$B$12*1000,0)</f>
        <v>166667</v>
      </c>
      <c r="K16" s="3" t="s">
        <v>39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52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42</v>
      </c>
      <c r="I17" s="9">
        <f>(D16)*(维护参数!$B$10)</f>
        <v>4375</v>
      </c>
      <c r="J17" s="21"/>
      <c r="K17" s="3" t="s">
        <v>43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53</v>
      </c>
      <c r="B18" s="3" t="s">
        <v>54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38</v>
      </c>
      <c r="I18" s="9">
        <f>(E18)*(1)</f>
        <v>5250</v>
      </c>
      <c r="J18" s="15">
        <f>ROUNDUP(D18*维护参数!$B$11/维护参数!$B$12*1000,0)</f>
        <v>233334</v>
      </c>
      <c r="K18" s="3" t="s">
        <v>39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55</v>
      </c>
      <c r="Y18" s="3" t="s">
        <v>56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42</v>
      </c>
      <c r="I19" s="9">
        <f>(D18)*(维护参数!$B$10)</f>
        <v>6125</v>
      </c>
      <c r="J19" s="21"/>
      <c r="K19" s="3" t="s">
        <v>43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57</v>
      </c>
      <c r="B20" s="3" t="s">
        <v>54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38</v>
      </c>
      <c r="I20" s="9">
        <f>(E20)*(1)</f>
        <v>3600</v>
      </c>
      <c r="J20" s="15">
        <f>ROUNDUP(D20*维护参数!$B$11/维护参数!$B$12*1000,0)</f>
        <v>160000</v>
      </c>
      <c r="K20" s="3" t="s">
        <v>39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58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42</v>
      </c>
      <c r="I21" s="9">
        <f>(D20)*(维护参数!$B$10)</f>
        <v>4200</v>
      </c>
      <c r="J21" s="21"/>
      <c r="K21" s="3" t="s">
        <v>43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59</v>
      </c>
      <c r="B22" s="3" t="s">
        <v>60</v>
      </c>
      <c r="C22" s="3" t="s">
        <v>61</v>
      </c>
      <c r="D22" s="9">
        <v>6000</v>
      </c>
      <c r="E22" s="9">
        <f>D22*0.6</f>
        <v>3600</v>
      </c>
      <c r="F22" s="14" t="s">
        <v>37</v>
      </c>
      <c r="G22" s="14" t="s">
        <v>37</v>
      </c>
      <c r="H22" s="3" t="s">
        <v>38</v>
      </c>
      <c r="I22" s="9">
        <f>(E22)*(1)</f>
        <v>3600</v>
      </c>
      <c r="J22" s="15">
        <f>ROUNDUP(D22*维护参数!$B$11/维护参数!$B$12*1000,0)</f>
        <v>160000</v>
      </c>
      <c r="K22" s="3" t="s">
        <v>39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61</v>
      </c>
      <c r="Y22" s="3" t="s">
        <v>62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42</v>
      </c>
      <c r="I23" s="9">
        <f>(D22)*(维护参数!$B$10)</f>
        <v>4200</v>
      </c>
      <c r="J23" s="21"/>
      <c r="K23" s="3" t="s">
        <v>43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63</v>
      </c>
      <c r="B24" s="3" t="s">
        <v>64</v>
      </c>
      <c r="C24" s="3" t="s">
        <v>102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38</v>
      </c>
      <c r="I24" s="9">
        <f>(E24)*(1)</f>
        <v>3600</v>
      </c>
      <c r="J24" s="15">
        <f>ROUNDUP(D24*维护参数!$B$11/维护参数!$B$12*1000,0)</f>
        <v>160000</v>
      </c>
      <c r="K24" s="3" t="s">
        <v>39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65</v>
      </c>
      <c r="Y24" s="3" t="s">
        <v>66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42</v>
      </c>
      <c r="I25" s="9">
        <f>(D24)*(维护参数!$B$10)</f>
        <v>4200</v>
      </c>
      <c r="J25" s="21"/>
      <c r="K25" s="3" t="s">
        <v>43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67</v>
      </c>
      <c r="B26" s="3" t="s">
        <v>64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38</v>
      </c>
      <c r="I26" s="9">
        <f>(E26)*(1)</f>
        <v>2880</v>
      </c>
      <c r="J26" s="15">
        <f>ROUNDUP(D26*维护参数!$B$11/维护参数!$B$12*1000,0)</f>
        <v>128000</v>
      </c>
      <c r="K26" s="3" t="s">
        <v>39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68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42</v>
      </c>
      <c r="I27" s="9">
        <f>(D26)*(维护参数!$B$10)</f>
        <v>3360</v>
      </c>
      <c r="J27" s="21"/>
      <c r="K27" s="3" t="s">
        <v>43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69</v>
      </c>
      <c r="B28" s="3" t="s">
        <v>51</v>
      </c>
      <c r="C28" s="3" t="s">
        <v>61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38</v>
      </c>
      <c r="I28" s="9">
        <f>(E28)*(1)</f>
        <v>2100</v>
      </c>
      <c r="J28" s="15">
        <f>ROUNDUP(D28*维护参数!$B$11/维护参数!$B$12*1000,0)</f>
        <v>93334</v>
      </c>
      <c r="K28" s="3" t="s">
        <v>39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61</v>
      </c>
      <c r="Y28" s="3" t="s">
        <v>70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42</v>
      </c>
      <c r="I29" s="9">
        <f>(D28)*(维护参数!$B$10)</f>
        <v>2450</v>
      </c>
      <c r="J29" s="21"/>
      <c r="K29" s="3" t="s">
        <v>43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71</v>
      </c>
      <c r="B30" s="3" t="s">
        <v>72</v>
      </c>
      <c r="C30" s="3"/>
      <c r="D30" s="9">
        <v>7800</v>
      </c>
      <c r="E30" s="9">
        <f>D30*0.6</f>
        <v>4680</v>
      </c>
      <c r="F30" s="14" t="s">
        <v>37</v>
      </c>
      <c r="G30" s="14" t="s">
        <v>37</v>
      </c>
      <c r="H30" s="3" t="s">
        <v>38</v>
      </c>
      <c r="I30" s="9">
        <f>(E30)*(1)</f>
        <v>4680</v>
      </c>
      <c r="J30" s="15">
        <f>ROUNDUP(D30*维护参数!$B$11/维护参数!$B$12*1000,0)</f>
        <v>208000</v>
      </c>
      <c r="K30" s="3" t="s">
        <v>39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73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42</v>
      </c>
      <c r="I31" s="9">
        <f>(D30)*(维护参数!$B$10)</f>
        <v>5460</v>
      </c>
      <c r="J31" s="21"/>
      <c r="K31" s="3" t="s">
        <v>43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74</v>
      </c>
      <c r="B32" s="3" t="s">
        <v>75</v>
      </c>
      <c r="C32" s="3" t="s">
        <v>61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38</v>
      </c>
      <c r="I32" s="9">
        <f>(E32)*(1)</f>
        <v>2250</v>
      </c>
      <c r="J32" s="15">
        <f>ROUNDUP(D32*维护参数!$B$11/维护参数!$B$12*1000,0)</f>
        <v>100000</v>
      </c>
      <c r="K32" s="3" t="s">
        <v>39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61</v>
      </c>
      <c r="Y32" s="3" t="s">
        <v>76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42</v>
      </c>
      <c r="I33" s="9">
        <f>(D32)*(维护参数!$B$10)</f>
        <v>2625</v>
      </c>
      <c r="J33" s="21"/>
      <c r="K33" s="3" t="s">
        <v>43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77</v>
      </c>
      <c r="B34" s="3" t="s">
        <v>75</v>
      </c>
      <c r="C34" s="3" t="s">
        <v>103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38</v>
      </c>
      <c r="I34" s="9">
        <f>(E34)*(1)</f>
        <v>1800</v>
      </c>
      <c r="J34" s="15">
        <f>ROUNDUP(D34*维护参数!$B$11/维护参数!$B$12*1000,0)</f>
        <v>80000</v>
      </c>
      <c r="K34" s="3" t="s">
        <v>39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78</v>
      </c>
      <c r="Y34" s="3" t="s">
        <v>79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42</v>
      </c>
      <c r="I35" s="9">
        <f>(D34)*(维护参数!$B$10)</f>
        <v>2100</v>
      </c>
      <c r="J35" s="21"/>
      <c r="K35" s="3" t="s">
        <v>43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80</v>
      </c>
      <c r="B36" s="3" t="s">
        <v>60</v>
      </c>
      <c r="C36" s="3" t="s">
        <v>61</v>
      </c>
      <c r="D36" s="9">
        <v>7150</v>
      </c>
      <c r="E36" s="9">
        <f>D36*0.6</f>
        <v>4290</v>
      </c>
      <c r="F36" s="14" t="s">
        <v>37</v>
      </c>
      <c r="G36" s="14" t="s">
        <v>37</v>
      </c>
      <c r="H36" s="3" t="s">
        <v>38</v>
      </c>
      <c r="I36" s="9">
        <f>(E36)*(1)</f>
        <v>4290</v>
      </c>
      <c r="J36" s="15">
        <f>ROUNDUP(D36*维护参数!$B$11/维护参数!$B$12*1000,0)</f>
        <v>190667</v>
      </c>
      <c r="K36" s="3" t="s">
        <v>39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61</v>
      </c>
      <c r="Y36" s="3" t="s">
        <v>81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42</v>
      </c>
      <c r="I37" s="9">
        <f>(D36)*(维护参数!$B$10)</f>
        <v>5005</v>
      </c>
      <c r="J37" s="21"/>
      <c r="K37" s="3" t="s">
        <v>43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82</v>
      </c>
      <c r="B38" s="3" t="s">
        <v>75</v>
      </c>
      <c r="C38" s="3"/>
      <c r="D38" s="9">
        <v>7000</v>
      </c>
      <c r="E38" s="9">
        <f>D38*0.6</f>
        <v>4200</v>
      </c>
      <c r="F38" s="14" t="s">
        <v>37</v>
      </c>
      <c r="G38" s="14" t="s">
        <v>37</v>
      </c>
      <c r="H38" s="3" t="s">
        <v>38</v>
      </c>
      <c r="I38" s="9">
        <f>(E38)*(1)</f>
        <v>4200</v>
      </c>
      <c r="J38" s="15">
        <f>ROUNDUP(D38*维护参数!$B$11/维护参数!$B$12*1000,0)</f>
        <v>186667</v>
      </c>
      <c r="K38" s="3" t="s">
        <v>39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83</v>
      </c>
      <c r="Y38" s="3" t="s">
        <v>84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42</v>
      </c>
      <c r="I39" s="9">
        <f>(D38)*(维护参数!$B$10)</f>
        <v>4900</v>
      </c>
      <c r="J39" s="21"/>
      <c r="K39" s="3" t="s">
        <v>43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85</v>
      </c>
      <c r="B40" s="3" t="s">
        <v>75</v>
      </c>
      <c r="C40" s="3" t="s">
        <v>86</v>
      </c>
      <c r="D40" s="9">
        <v>5500</v>
      </c>
      <c r="E40" s="9">
        <f>D40*0.6</f>
        <v>3300</v>
      </c>
      <c r="F40" s="14" t="s">
        <v>37</v>
      </c>
      <c r="G40" s="14" t="s">
        <v>37</v>
      </c>
      <c r="H40" s="3" t="s">
        <v>38</v>
      </c>
      <c r="I40" s="9">
        <f>(E40)*(1)</f>
        <v>3300</v>
      </c>
      <c r="J40" s="15">
        <f>ROUNDUP(D40*维护参数!$B$11/维护参数!$B$12*1000,0)</f>
        <v>146667</v>
      </c>
      <c r="K40" s="3" t="s">
        <v>39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86</v>
      </c>
      <c r="Y40" s="3" t="s">
        <v>87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42</v>
      </c>
      <c r="I41" s="9">
        <f>(D40)*(维护参数!$B$10)</f>
        <v>3850</v>
      </c>
      <c r="J41" s="21"/>
      <c r="K41" s="3" t="s">
        <v>43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88</v>
      </c>
      <c r="B42" s="3" t="s">
        <v>51</v>
      </c>
      <c r="C42" s="3" t="s">
        <v>86</v>
      </c>
      <c r="D42" s="9">
        <v>5000</v>
      </c>
      <c r="E42" s="9">
        <f>D42*0.6</f>
        <v>3000</v>
      </c>
      <c r="F42" s="14" t="s">
        <v>37</v>
      </c>
      <c r="G42" s="14" t="s">
        <v>37</v>
      </c>
      <c r="H42" s="3" t="s">
        <v>38</v>
      </c>
      <c r="I42" s="9">
        <f>(E42)*(1)</f>
        <v>3000</v>
      </c>
      <c r="J42" s="15">
        <f>ROUNDUP(D42*维护参数!$B$11/维护参数!$B$12*1000,0)</f>
        <v>133334</v>
      </c>
      <c r="K42" s="3" t="s">
        <v>39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86</v>
      </c>
      <c r="Y42" s="3" t="s">
        <v>89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42</v>
      </c>
      <c r="I43" s="9">
        <f>(D42)*(维护参数!$B$10)</f>
        <v>3500</v>
      </c>
      <c r="J43" s="21"/>
      <c r="K43" s="3" t="s">
        <v>43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90</v>
      </c>
      <c r="B44" s="3" t="s">
        <v>51</v>
      </c>
      <c r="C44" s="3" t="s">
        <v>86</v>
      </c>
      <c r="D44" s="9">
        <v>5000</v>
      </c>
      <c r="E44" s="9">
        <f>D44*0.6</f>
        <v>3000</v>
      </c>
      <c r="F44" s="14" t="s">
        <v>37</v>
      </c>
      <c r="G44" s="14" t="s">
        <v>37</v>
      </c>
      <c r="H44" s="3" t="s">
        <v>38</v>
      </c>
      <c r="I44" s="9">
        <f>(E44)*(1)</f>
        <v>3000</v>
      </c>
      <c r="J44" s="15">
        <f>ROUNDUP(D44*维护参数!$B$11/维护参数!$B$12*1000,0)</f>
        <v>133334</v>
      </c>
      <c r="K44" s="3" t="s">
        <v>39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86</v>
      </c>
      <c r="Y44" s="3" t="s">
        <v>91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42</v>
      </c>
      <c r="I45" s="9">
        <f>(D44)*(维护参数!$B$10)</f>
        <v>3500</v>
      </c>
      <c r="J45" s="21"/>
      <c r="K45" s="3" t="s">
        <v>43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92</v>
      </c>
      <c r="B46" s="3" t="s">
        <v>51</v>
      </c>
      <c r="C46" s="3" t="s">
        <v>86</v>
      </c>
      <c r="D46" s="9">
        <v>5000</v>
      </c>
      <c r="E46" s="9">
        <f>D46*0.6</f>
        <v>3000</v>
      </c>
      <c r="F46" s="14" t="s">
        <v>37</v>
      </c>
      <c r="G46" s="14" t="s">
        <v>37</v>
      </c>
      <c r="H46" s="3" t="s">
        <v>38</v>
      </c>
      <c r="I46" s="9">
        <f>(E46)*(1)</f>
        <v>3000</v>
      </c>
      <c r="J46" s="15">
        <f>ROUNDUP(D46*维护参数!$B$11/维护参数!$B$12*1000,0)</f>
        <v>133334</v>
      </c>
      <c r="K46" s="3" t="s">
        <v>39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86</v>
      </c>
      <c r="Y46" s="3" t="s">
        <v>93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42</v>
      </c>
      <c r="I47" s="9">
        <f>(D46)*(维护参数!$B$10)</f>
        <v>3500</v>
      </c>
      <c r="J47" s="21"/>
      <c r="K47" s="3" t="s">
        <v>43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94</v>
      </c>
      <c r="B48" s="3" t="s">
        <v>51</v>
      </c>
      <c r="C48" s="3" t="s">
        <v>95</v>
      </c>
      <c r="D48" s="9">
        <v>7800</v>
      </c>
      <c r="E48" s="9">
        <f>D48*0.6</f>
        <v>4680</v>
      </c>
      <c r="F48" s="14" t="s">
        <v>37</v>
      </c>
      <c r="G48" s="14" t="s">
        <v>37</v>
      </c>
      <c r="H48" s="3" t="s">
        <v>38</v>
      </c>
      <c r="I48" s="9">
        <f>(E48)*(1)</f>
        <v>4680</v>
      </c>
      <c r="J48" s="15">
        <f>ROUNDUP(D48*维护参数!$B$11/维护参数!$B$12*1000,0)</f>
        <v>208000</v>
      </c>
      <c r="K48" s="3" t="s">
        <v>39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95</v>
      </c>
      <c r="Y48" s="3" t="s">
        <v>96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42</v>
      </c>
      <c r="I49" s="9">
        <f>(D48)*(维护参数!$B$10)</f>
        <v>5460</v>
      </c>
      <c r="J49" s="21"/>
      <c r="K49" s="3" t="s">
        <v>43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97</v>
      </c>
      <c r="B50" s="3" t="s">
        <v>75</v>
      </c>
      <c r="C50" s="3" t="s">
        <v>95</v>
      </c>
      <c r="D50" s="9">
        <v>7400</v>
      </c>
      <c r="E50" s="9">
        <f>D50*0.6</f>
        <v>4440</v>
      </c>
      <c r="F50" s="14" t="s">
        <v>37</v>
      </c>
      <c r="G50" s="14" t="s">
        <v>37</v>
      </c>
      <c r="H50" s="3" t="s">
        <v>38</v>
      </c>
      <c r="I50" s="9">
        <f>(E50)*(1)</f>
        <v>4440</v>
      </c>
      <c r="J50" s="15">
        <f>ROUNDUP(D50*维护参数!$B$11/维护参数!$B$12*1000,0)</f>
        <v>197334</v>
      </c>
      <c r="K50" s="3" t="s">
        <v>39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95</v>
      </c>
      <c r="Y50" s="3" t="s">
        <v>98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42</v>
      </c>
      <c r="I51" s="9">
        <f>(D50)*(维护参数!$B$10)</f>
        <v>5180</v>
      </c>
      <c r="J51" s="21"/>
      <c r="K51" s="3" t="s">
        <v>43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99</v>
      </c>
      <c r="B52" s="3" t="s">
        <v>51</v>
      </c>
      <c r="C52" s="3" t="s">
        <v>95</v>
      </c>
      <c r="D52" s="9">
        <v>5000</v>
      </c>
      <c r="E52" s="9">
        <f>D52*0.6</f>
        <v>3000</v>
      </c>
      <c r="F52" s="14" t="s">
        <v>37</v>
      </c>
      <c r="G52" s="14" t="s">
        <v>37</v>
      </c>
      <c r="H52" s="3" t="s">
        <v>38</v>
      </c>
      <c r="I52" s="9">
        <f>(E52)*(1)</f>
        <v>3000</v>
      </c>
      <c r="J52" s="15">
        <f>ROUNDUP(D52*维护参数!$B$11/维护参数!$B$12*1000,0)</f>
        <v>133334</v>
      </c>
      <c r="K52" s="3" t="s">
        <v>39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95</v>
      </c>
      <c r="Y52" s="3" t="s">
        <v>100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42</v>
      </c>
      <c r="I53" s="9">
        <f>(D52)*(维护参数!$B$10)</f>
        <v>3500</v>
      </c>
      <c r="J53" s="21"/>
      <c r="K53" s="3" t="s">
        <v>43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workbookViewId="0">
      <selection activeCell="A1" sqref="A1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104</v>
      </c>
      <c r="B1" s="1" t="s">
        <v>105</v>
      </c>
      <c r="C1" s="1" t="s">
        <v>106</v>
      </c>
    </row>
    <row r="2" ht="24" customHeight="1" spans="1:3">
      <c r="A2" s="2" t="s">
        <v>107</v>
      </c>
      <c r="B2" s="2">
        <v>21</v>
      </c>
      <c r="C2" s="2" t="s">
        <v>108</v>
      </c>
    </row>
    <row r="3" ht="24" customHeight="1" spans="1:3">
      <c r="A3" s="2" t="s">
        <v>109</v>
      </c>
      <c r="B3" s="2">
        <v>55</v>
      </c>
      <c r="C3" s="2" t="s">
        <v>108</v>
      </c>
    </row>
    <row r="4" ht="24" hidden="1" customHeight="1" spans="1:3">
      <c r="A4" s="3" t="s">
        <v>110</v>
      </c>
      <c r="B4" s="3">
        <v>10</v>
      </c>
      <c r="C4" s="3" t="s">
        <v>111</v>
      </c>
    </row>
    <row r="5" ht="24" hidden="1" customHeight="1" spans="1:3">
      <c r="A5" s="3" t="s">
        <v>112</v>
      </c>
      <c r="B5" s="3">
        <v>5</v>
      </c>
      <c r="C5" s="3" t="s">
        <v>111</v>
      </c>
    </row>
    <row r="6" ht="24" customHeight="1" spans="1:3">
      <c r="A6" s="2" t="s">
        <v>113</v>
      </c>
      <c r="B6" s="2">
        <v>60</v>
      </c>
      <c r="C6" s="2" t="s">
        <v>114</v>
      </c>
    </row>
    <row r="7" ht="24" customHeight="1" spans="1:3">
      <c r="A7" s="2" t="s">
        <v>115</v>
      </c>
      <c r="B7" s="2">
        <v>0.8</v>
      </c>
      <c r="C7" s="2" t="s">
        <v>116</v>
      </c>
    </row>
    <row r="8" ht="24" customHeight="1" spans="1:3">
      <c r="A8" s="2" t="s">
        <v>24</v>
      </c>
      <c r="B8" s="2">
        <v>0.1</v>
      </c>
      <c r="C8" s="2" t="s">
        <v>116</v>
      </c>
    </row>
    <row r="9" ht="24" customHeight="1" spans="1:3">
      <c r="A9" s="2" t="s">
        <v>25</v>
      </c>
      <c r="B9" s="2">
        <v>0.2</v>
      </c>
      <c r="C9" s="2" t="s">
        <v>116</v>
      </c>
    </row>
    <row r="10" ht="24" customHeight="1" spans="1:3">
      <c r="A10" s="2" t="s">
        <v>117</v>
      </c>
      <c r="B10" s="2">
        <v>0.7</v>
      </c>
      <c r="C10" s="2"/>
    </row>
    <row r="11" ht="24" customHeight="1" spans="1:3">
      <c r="A11" s="2" t="s">
        <v>118</v>
      </c>
      <c r="B11" s="2">
        <v>0.8</v>
      </c>
      <c r="C11" s="2"/>
    </row>
    <row r="12" ht="24" customHeight="1" spans="1:3">
      <c r="A12" s="2" t="s">
        <v>119</v>
      </c>
      <c r="B12" s="2">
        <v>30</v>
      </c>
      <c r="C12" s="2" t="s">
        <v>114</v>
      </c>
    </row>
    <row r="13" ht="24" customHeight="1" spans="1:3">
      <c r="A13" s="2" t="s">
        <v>120</v>
      </c>
      <c r="B13" s="2">
        <v>200</v>
      </c>
      <c r="C13" s="2"/>
    </row>
    <row r="14" ht="24" customHeight="1" spans="1:3">
      <c r="A14" s="2" t="s">
        <v>121</v>
      </c>
      <c r="B14" s="2">
        <v>1.5</v>
      </c>
      <c r="C14" s="2"/>
    </row>
    <row r="15" ht="24" customHeight="1" spans="1:3">
      <c r="A15" s="2" t="s">
        <v>122</v>
      </c>
      <c r="B15" s="2">
        <v>10000</v>
      </c>
      <c r="C15" s="2" t="s">
        <v>123</v>
      </c>
    </row>
    <row r="16" ht="24" customHeight="1" spans="1:3">
      <c r="A16" s="2" t="s">
        <v>124</v>
      </c>
      <c r="B16" s="2">
        <v>20000</v>
      </c>
      <c r="C16" s="2" t="s">
        <v>125</v>
      </c>
    </row>
    <row r="17" ht="24" customHeight="1" spans="1:10">
      <c r="A17" s="2" t="s">
        <v>126</v>
      </c>
      <c r="B17" s="2">
        <v>200</v>
      </c>
      <c r="C17" s="2" t="s">
        <v>127</v>
      </c>
    </row>
    <row r="18" ht="24" customHeight="1" spans="1:10">
      <c r="A18" s="2" t="s">
        <v>128</v>
      </c>
      <c r="B18" s="2">
        <v>200</v>
      </c>
      <c r="C18" s="2" t="s">
        <v>127</v>
      </c>
    </row>
    <row r="19" ht="24" customHeight="1" spans="1:10">
      <c r="A19" s="2" t="s">
        <v>129</v>
      </c>
      <c r="B19" s="2">
        <v>300</v>
      </c>
      <c r="C19" s="2" t="s">
        <v>127</v>
      </c>
    </row>
    <row r="20" ht="24" customHeight="1" spans="1:10">
      <c r="A20" s="2" t="s">
        <v>130</v>
      </c>
      <c r="B20" s="2">
        <v>0.65</v>
      </c>
      <c r="C20" s="2" t="s">
        <v>131</v>
      </c>
    </row>
    <row r="23" ht="30" customHeight="1" spans="1:10">
      <c r="A23" s="1" t="s">
        <v>132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133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134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135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136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137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138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139</v>
      </c>
      <c r="B30" s="4"/>
      <c r="C30" s="4"/>
      <c r="D30" s="4"/>
      <c r="E30" s="4"/>
      <c r="F30" s="4"/>
      <c r="G30" s="4"/>
      <c r="H30" s="4"/>
      <c r="I30" s="4"/>
      <c r="J30" s="4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2026-09-16T20:34:30Z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5B201A4642BC66E5D68CAA6A52123AB8_42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