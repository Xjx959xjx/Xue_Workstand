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dbbc70e1654f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抖音大号维护标准" sheetId="1" r:id="R69ce7084c9614362"/>
    <x:sheet xmlns:r="http://schemas.openxmlformats.org/officeDocument/2006/relationships" name="抖音小号维护标准" sheetId="2" r:id="R1df125fa9c76494f"/>
    <x:sheet xmlns:r="http://schemas.openxmlformats.org/officeDocument/2006/relationships" name="维护参数" sheetId="3" r:id="R7ba35ed917d94bcd"/>
    <x:sheet xmlns:r="http://schemas.openxmlformats.org/officeDocument/2006/relationships" name="大号补充标准" sheetId="4" r:id="Rc1c27a1ac12a4e8f"/>
  </x:sheets>
</x:workbook>
</file>

<file path=xl/sharedStrings.xml><?xml version="1.0" encoding="utf-8"?>
<x:sst xmlns:x="http://schemas.openxmlformats.org/spreadsheetml/2006/main">
  <x:si>
    <x:t xml:space="preserve">【MCN事业部】抖音大号维护标准</x:t>
  </x:si>
  <x:si>
    <x:t xml:space="preserve"/>
  </x:si>
  <x:si>
    <x:t xml:space="preserve">目标星图播放中位数 = 下阶段报价 ÷ 目标CPM 200 × 1000 × 1.5
维护顺序：
1、冲榜项目/发布后急需上量/抖加无法过审，优先采用千川无视版进行维护
2、除以上情况外，应当优先采用抖加维护，正常情况下仅适用抖加采买播放量，互动量通过HKJ补齐
达到目标中位数并形成至少3条满30天样本后，下月执行涨价；平台预期CPM暂时没变化也不立即降价。</x:t>
  </x:si>
  <x:si>
    <x:t xml:space="preserve">账号</x:t>
  </x:si>
  <x:si>
    <x:t xml:space="preserve">8月植入报价</x:t>
  </x:si>
  <x:si>
    <x:t xml:space="preserve">8月定制报价</x:t>
  </x:si>
  <x:si>
    <x:t xml:space="preserve">预期播放量</x:t>
  </x:si>
  <x:si>
    <x:t xml:space="preserve">预期CPM</x:t>
  </x:si>
  <x:si>
    <x:t xml:space="preserve">星图中位数
（30天）</x:t>
  </x:si>
  <x:si>
    <x:t xml:space="preserve">9月植入报价
（定制价格*70%）</x:t>
  </x:si>
  <x:si>
    <x:t xml:space="preserve">9月定制报价</x:t>
  </x:si>
  <x:si>
    <x:t xml:space="preserve">涨价比例</x:t>
  </x:si>
  <x:si>
    <x:t xml:space="preserve">目标
柱状图播放量
（定制CPM30）</x:t>
  </x:si>
  <x:si>
    <x:t xml:space="preserve">目标
星图中位数
（30天）</x:t>
  </x:si>
  <x:si>
    <x:t xml:space="preserve">抖加费用
（CPM17）</x:t>
  </x:si>
  <x:si>
    <x:t xml:space="preserve">抖加费用
（CPM20）</x:t>
  </x:si>
  <x:si>
    <x:t xml:space="preserve">柱状图播放量缺口</x:t>
  </x:si>
  <x:si>
    <x:t xml:space="preserve">千川费用
（CPM5.5）</x:t>
  </x:si>
  <x:si>
    <x:t xml:space="preserve">HKJ互动</x:t>
  </x:si>
  <x:si>
    <x:t xml:space="preserve">总维护成本</x:t>
  </x:si>
  <x:si>
    <x:t xml:space="preserve">7折+数据维护后
集团毛利</x:t>
  </x:si>
  <x:si>
    <x:t xml:space="preserve">集团毛利率</x:t>
  </x:si>
  <x:si>
    <x:t xml:space="preserve">部门毛利</x:t>
  </x:si>
  <x:si>
    <x:t xml:space="preserve">部门毛利率</x:t>
  </x:si>
  <x:si>
    <x:t xml:space="preserve">花无缺</x:t>
  </x:si>
  <x:si>
    <x:t xml:space="preserve">最游话说</x:t>
  </x:si>
  <x:si>
    <x:t xml:space="preserve">报告砖家</x:t>
  </x:si>
  <x:si>
    <x:t xml:space="preserve">策划克星阿强</x:t>
  </x:si>
  <x:si>
    <x:t xml:space="preserve">天机妹</x:t>
  </x:si>
  <x:si>
    <x:t xml:space="preserve">木游话说</x:t>
  </x:si>
  <x:si>
    <x:t xml:space="preserve">麦冬冬</x:t>
  </x:si>
  <x:si>
    <x:t xml:space="preserve">【MCN事业部】抖音小号维护标准</x:t>
  </x:si>
  <x:si>
    <x:t xml:space="preserve">私单按询单表私单价格，不额外折扣；平台单按各账号定制刊例报价×70%
播放目标沿用大号模板：定制基准×80%÷30×1000。按完整目标预留千川费用，不将星图中位数当成已实现播放扣减。</x:t>
  </x:si>
  <x:si>
    <x:t xml:space="preserve">负责人</x:t>
  </x:si>
  <x:si>
    <x:t xml:space="preserve">定制
刊例价</x:t>
  </x:si>
  <x:si>
    <x:t xml:space="preserve">私单
报价</x:t>
  </x:si>
  <x:si>
    <x:t xml:space="preserve">涨价定制
刊例价</x:t>
  </x:si>
  <x:si>
    <x:t xml:space="preserve">涨价私单
报价</x:t>
  </x:si>
  <x:si>
    <x:t xml:space="preserve">订单
类型</x:t>
  </x:si>
  <x:si>
    <x:t xml:space="preserve">成交价</x:t>
  </x:si>
  <x:si>
    <x:t xml:space="preserve">目标播放量
（次）</x:t>
  </x:si>
  <x:si>
    <x:t xml:space="preserve">千川版本</x:t>
  </x:si>
  <x:si>
    <x:t xml:space="preserve">千川
费用</x:t>
  </x:si>
  <x:si>
    <x:t xml:space="preserve">点赞</x:t>
  </x:si>
  <x:si>
    <x:t xml:space="preserve">评论</x:t>
  </x:si>
  <x:si>
    <x:t xml:space="preserve">收藏</x:t>
  </x:si>
  <x:si>
    <x:t xml:space="preserve">转发</x:t>
  </x:si>
  <x:si>
    <x:t xml:space="preserve">互动
费用</x:t>
  </x:si>
  <x:si>
    <x:t xml:space="preserve">总维护
成本</x:t>
  </x:si>
  <x:si>
    <x:t xml:space="preserve">维护费
占成交价</x:t>
  </x:si>
  <x:si>
    <x:t xml:space="preserve">集团
毛利</x:t>
  </x:si>
  <x:si>
    <x:t xml:space="preserve">集团毛利率
（占折前报价）</x:t>
  </x:si>
  <x:si>
    <x:t xml:space="preserve">部门
毛利</x:t>
  </x:si>
  <x:si>
    <x:t xml:space="preserve">部门毛利率
（占折前报价）</x:t>
  </x:si>
  <x:si>
    <x:t xml:space="preserve">备注</x:t>
  </x:si>
  <x:si>
    <x:t xml:space="preserve">主页链接</x:t>
  </x:si>
  <x:si>
    <x:t xml:space="preserve">薛定谔的机</x:t>
  </x:si>
  <x:si>
    <x:t xml:space="preserve">薛荐轩</x:t>
  </x:si>
  <x:si>
    <x:t xml:space="preserve">/</x:t>
  </x:si>
  <x:si>
    <x:t xml:space="preserve">私单</x:t>
  </x:si>
  <x:si>
    <x:t xml:space="preserve">普通千川</x:t>
  </x:si>
  <x:si>
    <x:t xml:space="preserve">真人</x:t>
  </x:si>
  <x:si>
    <x:r>
      <x:rPr>
        <x:b/>
        <x:i/>
        <x:u val="single"/>
        <x:sz val="10"/>
        <x:color rgb="FF267EF0"/>
        <x:rFont val="Helvetica Neue"/>
      </x:rPr>
      <x:t xml:space="preserve">https://v.douyin.com/dcP3cOC30h4/</x:t>
    </x:r>
  </x:si>
  <x:si>
    <x:t xml:space="preserve">平台单</x:t>
  </x:si>
  <x:si>
    <x:t xml:space="preserve">千川无视版</x:t>
  </x:si>
  <x:si>
    <x:t xml:space="preserve">花满楼</x:t>
  </x:si>
  <x:si>
    <x:t xml:space="preserve">陈健伊</x:t>
  </x:si>
  <x:si>
    <x:t xml:space="preserve">建议降价</x:t>
  </x:si>
  <x:si>
    <x:r>
      <x:rPr>
        <x:b/>
        <x:i/>
        <x:u val="single"/>
        <x:sz val="10"/>
        <x:color rgb="FF267EF0"/>
        <x:rFont val="Helvetica Neue"/>
      </x:rPr>
      <x:t xml:space="preserve">https://v.douyin.com/SAEJqgoPkrY/</x:t>
    </x:r>
  </x:si>
  <x:si>
    <x:t xml:space="preserve">麦小雯</x:t>
  </x:si>
  <x:si>
    <x:r>
      <x:rPr>
        <x:b/>
        <x:i/>
        <x:u val="single"/>
        <x:sz val="10"/>
        <x:color rgb="FF267EF0"/>
        <x:rFont val="等线"/>
      </x:rPr>
      <x:t xml:space="preserve">https://v.douyin.com/DcH2brXPgvc/</x:t>
    </x:r>
  </x:si>
  <x:si>
    <x:t xml:space="preserve">葵仔不想肝</x:t>
  </x:si>
  <x:si>
    <x:t xml:space="preserve">刘登魁</x:t>
  </x:si>
  <x:si>
    <x:r>
      <x:rPr>
        <x:b/>
        <x:i/>
        <x:u val="single"/>
        <x:sz val="10"/>
        <x:color rgb="FF267EF0"/>
        <x:rFont val="等线"/>
      </x:rPr>
      <x:t xml:space="preserve">https://v.douyin.com/38Scd6JrG_s/</x:t>
    </x:r>
  </x:si>
  <x:si>
    <x:t xml:space="preserve">游热娃子</x:t>
  </x:si>
  <x:si>
    <x:t xml:space="preserve">杨鸿霆</x:t>
  </x:si>
  <x:si>
    <x:t xml:space="preserve">数据好</x:t>
  </x:si>
  <x:si>
    <x:r>
      <x:rPr>
        <x:b/>
        <x:i/>
        <x:u val="single"/>
        <x:sz val="10"/>
        <x:color rgb="FF267EF0"/>
        <x:rFont val="等线"/>
      </x:rPr>
      <x:t xml:space="preserve">https://v.douyin.com/JmcvjVd/</x:t>
    </x:r>
  </x:si>
  <x:si>
    <x:t xml:space="preserve">游小妹</x:t>
  </x:si>
  <x:si>
    <x:r>
      <x:rPr>
        <x:b/>
        <x:i/>
        <x:u val="single"/>
        <x:sz val="10"/>
        <x:color rgb="FF267EF0"/>
        <x:rFont val="等线"/>
      </x:rPr>
      <x:t xml:space="preserve">https://v.douyin.com/JmcXQpY/</x:t>
    </x:r>
  </x:si>
  <x:si>
    <x:t xml:space="preserve">灵梦小师妹</x:t>
  </x:si>
  <x:si>
    <x:t xml:space="preserve">林宇辰</x:t>
  </x:si>
  <x:si>
    <x:t xml:space="preserve">王者</x:t>
  </x:si>
  <x:si>
    <x:r>
      <x:rPr>
        <x:b/>
        <x:i/>
        <x:u val="single"/>
        <x:sz val="10"/>
        <x:color rgb="FF267EF0"/>
        <x:rFont val="等线"/>
      </x:rPr>
      <x:t xml:space="preserve">https://www.douyin.com/user/MS4wLjABAAAAJfqON1LDmWBPlUXvQ-iwZ6AZLbLuIj72uGiFUuot89k</x:t>
    </x:r>
  </x:si>
  <x:si>
    <x:t xml:space="preserve">超玩教授</x:t>
  </x:si>
  <x:si>
    <x:t xml:space="preserve">商光涵</x:t>
  </x:si>
  <x:si>
    <x:t xml:space="preserve">需改封面+隐藏</x:t>
  </x:si>
  <x:si>
    <x:r>
      <x:rPr>
        <x:b/>
        <x:i/>
        <x:u val="single"/>
        <x:sz val="10"/>
        <x:color rgb="FF267EF0"/>
        <x:rFont val="等线"/>
      </x:rPr>
      <x:t xml:space="preserve">https://v.douyin.com/JJ3p572/</x:t>
    </x:r>
  </x:si>
  <x:si>
    <x:t xml:space="preserve">lee小强</x:t>
  </x:si>
  <x:si>
    <x:r>
      <x:rPr>
        <x:b/>
        <x:i/>
        <x:u val="single"/>
        <x:sz val="10"/>
        <x:color rgb="FF267EF0"/>
        <x:rFont val="等线"/>
      </x:rPr>
      <x:t xml:space="preserve">https://v.douyin.com/ihb6eF8j/</x:t>
    </x:r>
  </x:si>
  <x:si>
    <x:t xml:space="preserve">不玩就分手</x:t>
  </x:si>
  <x:si>
    <x:r>
      <x:rPr>
        <x:b/>
        <x:i/>
        <x:u val="single"/>
        <x:sz val="10"/>
        <x:color rgb="FF267EF0"/>
        <x:rFont val="等线"/>
      </x:rPr>
      <x:t xml:space="preserve"> https://v.douyin.com/jTKED_9fV4A/</x:t>
    </x:r>
  </x:si>
  <x:si>
    <x:t xml:space="preserve">游梗要说</x:t>
  </x:si>
  <x:si>
    <x:t xml:space="preserve">罗晓棋</x:t>
  </x:si>
  <x:si>
    <x:r>
      <x:rPr>
        <x:b/>
        <x:i/>
        <x:u val="single"/>
        <x:sz val="10"/>
        <x:color rgb="FF267EF0"/>
        <x:rFont val="等线"/>
      </x:rPr>
      <x:t xml:space="preserve">https://www.douyin.com/user/MS4wLjABAAAAbRgpD5qO5M7mlI-ALMWDbsqjwiSeFC1WxNPKVgjsSCbFam1N0thGyVDw-PfRjICt</x:t>
    </x:r>
  </x:si>
  <x:si>
    <x:t xml:space="preserve">中二探长</x:t>
  </x:si>
  <x:si>
    <x:t xml:space="preserve">陈泓睿</x:t>
  </x:si>
  <x:si>
    <x:r>
      <x:rPr>
        <x:b/>
        <x:i/>
        <x:u val="single"/>
        <x:sz val="10"/>
        <x:color rgb="FF267EF0"/>
        <x:rFont val="等线"/>
      </x:rPr>
      <x:t xml:space="preserve">https://v.douyin.com/mFA-j2xaAJY/</x:t>
    </x:r>
  </x:si>
  <x:si>
    <x:t xml:space="preserve">嘿小虎</x:t>
  </x:si>
  <x:si>
    <x:t xml:space="preserve">逆水寒-之前
需改封面+隐藏</x:t>
  </x:si>
  <x:si>
    <x:r>
      <x:rPr>
        <x:b/>
        <x:i/>
        <x:u val="single"/>
        <x:sz val="10"/>
        <x:color rgb="FF267EF0"/>
        <x:rFont val="等线"/>
      </x:rPr>
      <x:t xml:space="preserve">https://v.douyin.com/lIhi6TchbPw/</x:t>
    </x:r>
  </x:si>
  <x:si>
    <x:t xml:space="preserve">有事找学姐</x:t>
  </x:si>
  <x:si>
    <x:r>
      <x:rPr>
        <x:b/>
        <x:i/>
        <x:u val="single"/>
        <x:sz val="10"/>
        <x:color rgb="FF267EF0"/>
        <x:rFont val="等线"/>
      </x:rPr>
      <x:t xml:space="preserve">https://v.douyin.com/ettSTTldPIc/</x:t>
    </x:r>
  </x:si>
  <x:si>
    <x:t xml:space="preserve">跑腿的包子</x:t>
  </x:si>
  <x:si>
    <x:t xml:space="preserve">分发-精选激励</x:t>
  </x:si>
  <x:si>
    <x:r>
      <x:rPr>
        <x:b/>
        <x:i/>
        <x:u val="single"/>
        <x:sz val="10"/>
        <x:color rgb="FF267EF0"/>
        <x:rFont val="等线"/>
      </x:rPr>
      <x:t xml:space="preserve">https://v.douyin.com/Vva749Cn4Fk/</x:t>
    </x:r>
  </x:si>
  <x:si>
    <x:t xml:space="preserve">皮皮说游戏</x:t>
  </x:si>
  <x:si>
    <x:t xml:space="preserve">星广</x:t>
  </x:si>
  <x:si>
    <x:r>
      <x:rPr>
        <x:b/>
        <x:i/>
        <x:u val="single"/>
        <x:sz val="10"/>
        <x:color rgb="FF267EF0"/>
        <x:rFont val="等线"/>
      </x:rPr>
      <x:t xml:space="preserve">https://v.douyin.com/iSUabqnS/</x:t>
    </x:r>
  </x:si>
  <x:si>
    <x:t xml:space="preserve">夏洛</x:t>
  </x:si>
  <x:si>
    <x:r>
      <x:rPr>
        <x:b/>
        <x:i/>
        <x:u val="single"/>
        <x:sz val="10"/>
        <x:color rgb="FF267EF0"/>
        <x:rFont val="等线"/>
      </x:rPr>
      <x:t xml:space="preserve">https://v.douyin.com/wq_9XvcbfS0/</x:t>
    </x:r>
  </x:si>
  <x:si>
    <x:t xml:space="preserve">畅玩百晓生</x:t>
  </x:si>
  <x:si>
    <x:r>
      <x:rPr>
        <x:b/>
        <x:i/>
        <x:u val="single"/>
        <x:sz val="10"/>
        <x:color rgb="FF267EF0"/>
        <x:rFont val="等线"/>
      </x:rPr>
      <x:t xml:space="preserve">https://v.douyin.com/jTTVNutNIRQ/</x:t>
    </x:r>
  </x:si>
  <x:si>
    <x:t xml:space="preserve">游戏永动机</x:t>
  </x:si>
  <x:si>
    <x:r>
      <x:rPr>
        <x:b/>
        <x:i/>
        <x:u val="single"/>
        <x:sz val="10"/>
        <x:color rgb="FF267EF0"/>
        <x:rFont val="等线"/>
      </x:rPr>
      <x:t xml:space="preserve">https://v.douyin.com/c2M4VXTdIvM/</x:t>
    </x:r>
  </x:si>
  <x:si>
    <x:t xml:space="preserve">游点慌</x:t>
  </x:si>
  <x:si>
    <x:t xml:space="preserve">逆水寒</x:t>
  </x:si>
  <x:si>
    <x:r>
      <x:rPr>
        <x:b/>
        <x:i/>
        <x:u val="single"/>
        <x:sz val="10"/>
        <x:color rgb="FF267EF0"/>
        <x:rFont val="等线"/>
      </x:rPr>
      <x:t xml:space="preserve">https://v.douyin.com/2hO1tem8Xhg/</x:t>
    </x:r>
  </x:si>
  <x:si>
    <x:t xml:space="preserve">饭十七</x:t>
  </x:si>
  <x:si>
    <x:r>
      <x:rPr>
        <x:b/>
        <x:i/>
        <x:u val="single"/>
        <x:sz val="10"/>
        <x:color rgb="FF267EF0"/>
        <x:rFont val="等线"/>
      </x:rPr>
      <x:t xml:space="preserve">https://v.douyin.com/m8vFSRuq1co/</x:t>
    </x:r>
  </x:si>
  <x:si>
    <x:t xml:space="preserve">游侠蹦蹦</x:t>
  </x:si>
  <x:si>
    <x:r>
      <x:rPr>
        <x:b/>
        <x:i/>
        <x:u val="single"/>
        <x:sz val="10"/>
        <x:color rgb="FF267EF0"/>
        <x:rFont val="等线"/>
      </x:rPr>
      <x:t xml:space="preserve">https://v.douyin.com/dO7_tPj7Mgo/</x:t>
    </x:r>
    <x:r>
      <x:rPr>
        <x:b/>
        <x:i/>
        <x:sz val="10"/>
        <x:color rgb="FF000000"/>
        <x:rFont val="等线"/>
      </x:rPr>
      <x:t xml:space="preserve"> </x:t>
    </x:r>
  </x:si>
  <x:si>
    <x:t xml:space="preserve">【内容事业部】抖音游戏类小号维护标准</x:t>
  </x:si>
  <x:si>
    <x:t xml:space="preserve">封面+隐藏</x:t>
  </x:si>
  <x:si>
    <x:t xml:space="preserve">逆水寒-之前</x:t>
  </x:si>
  <x:si>
    <x:t xml:space="preserve">参数</x:t>
  </x:si>
  <x:si>
    <x:t xml:space="preserve">数值</x:t>
  </x:si>
  <x:si>
    <x:t xml:space="preserve">单位 / 来源</x:t>
  </x:si>
  <x:si>
    <x:t xml:space="preserve">私单千川</x:t>
  </x:si>
  <x:si>
    <x:t xml:space="preserve">元/万；</x:t>
  </x:si>
  <x:si>
    <x:t xml:space="preserve">平台千川无视版</x:t>
  </x:si>
  <x:si>
    <x:t xml:space="preserve">私单千川起量</x:t>
  </x:si>
  <x:si>
    <x:t xml:space="preserve">万</x:t>
  </x:si>
  <x:si>
    <x:t xml:space="preserve">平台千川起量</x:t>
  </x:si>
  <x:si>
    <x:t xml:space="preserve">点赞（科技）</x:t>
  </x:si>
  <x:si>
    <x:t xml:space="preserve">元/千次；</x:t>
  </x:si>
  <x:si>
    <x:t xml:space="preserve">自定义评论</x:t>
  </x:si>
  <x:si>
    <x:t xml:space="preserve">元/个；</x:t>
  </x:si>
  <x:si>
    <x:t xml:space="preserve">定制对客折扣</x:t>
  </x:si>
  <x:si>
    <x:t xml:space="preserve">折扣换算</x:t>
  </x:si>
  <x:si>
    <x:t xml:space="preserve">目标播放CPM</x:t>
  </x:si>
  <x:si>
    <x:t xml:space="preserve">星图观察CPM</x:t>
  </x:si>
  <x:si>
    <x:t xml:space="preserve">星图观察系数</x:t>
  </x:si>
  <x:si>
    <x:t xml:space="preserve">互动档基准报价</x:t>
  </x:si>
  <x:si>
    <x:t xml:space="preserve">元；</x:t>
  </x:si>
  <x:si>
    <x:t xml:space="preserve">点赞基准</x:t>
  </x:si>
  <x:si>
    <x:t xml:space="preserve">个；</x:t>
  </x:si>
  <x:si>
    <x:t xml:space="preserve">评论基准</x:t>
  </x:si>
  <x:si>
    <x:t xml:space="preserve">个；大号模板P列</x:t>
  </x:si>
  <x:si>
    <x:t xml:space="preserve">收藏基准</x:t>
  </x:si>
  <x:si>
    <x:t xml:space="preserve">转发基准</x:t>
  </x:si>
  <x:si>
    <x:t xml:space="preserve">部门分成比例</x:t>
  </x:si>
  <x:si>
    <x:t xml:space="preserve">沿用大号模板T列</x:t>
  </x:si>
  <x:si>
    <x:t xml:space="preserve">来源与口径</x:t>
  </x:si>
  <x:si>
    <x:t xml:space="preserve">账号与报价：【内容事业部】自孵化账号询单信息.xlsx，抖音页A/D/I/L/M/P列；原表更新2026-09-11。</x:t>
  </x:si>
  <x:si>
    <x:t xml:space="preserve">价格：style-library/gross-margin/douyin.json，采用启用项unitPrice；未采用旧note中的价格。</x:t>
  </x:si>
  <x:si>
    <x:t xml:space="preserve">模板：自孵化维护标准.xlsx，维护标准页J/K/P/R—U列。互动量按定制刊例价缩放为本次建议。</x:t>
  </x:si>
  <x:si>
    <x:t xml:space="preserve">5个星广联投账号仍纳入，但本次仅按用户指定的私单/平台七折两种规则，不采用原表可谈深折条款。</x:t>
  </x:si>
  <x:si>
    <x:t xml:space="preserve">毛利计算沿用工作台：成交价－维护成本；集团毛利率以折前下单基准为分母，部门毛利为集团毛利×65%。</x:t>
  </x:si>
  <x:si>
    <x:t xml:space="preserve">维护费按完整目标预算，实际执行先减自然数据再核算；中位数未作为可购买或已实现数量。</x:t>
  </x:si>
  <x:si>
    <x:t xml:space="preserve">空缺实际数据不填零。当前表用于逐账号制定预算，不代表历史表现、平台验收承诺或已完成维护。</x:t>
  </x:si>
</x:sst>
</file>

<file path=xl/styles.xml><?xml version="1.0" encoding="utf-8"?>
<x:styleSheet xmlns:x="http://schemas.openxmlformats.org/spreadsheetml/2006/main">
  <x:numFmts count="5">
    <x:numFmt numFmtId="300" formatCode="&quot;￥&quot;#,##0_);[Red]\(&quot;￥&quot;#,##0\)"/>
    <x:numFmt numFmtId="301" formatCode="_ * #,##0_ ;_ * \-#,##0_ ;_ * &quot;-&quot;??_ ;_ @_ "/>
    <x:numFmt numFmtId="302" formatCode="&quot;￥&quot;#,##0_);[Red](&quot;￥&quot;#,##0)"/>
    <x:numFmt numFmtId="303" formatCode="_ * #,##0_ ;_ * -#,##0_ ;_ * &quot;-&quot;??_ ;_ @_ "/>
    <x:numFmt numFmtId="304" formatCode="&quot;￥&quot;#,##0.0_);[Red](&quot;￥&quot;#,##0.0)"/>
  </x:numFmts>
  <x:fonts count="16">
    <x:font>
      <x:sz val="10"/>
      <x:color theme="1"/>
      <x:name val="等线"/>
    </x:font>
    <x:font>
      <x:sz val="10"/>
      <x:color rgb="FF175CEB"/>
      <x:name val="等线"/>
    </x:font>
    <x:font>
      <x:sz val="10"/>
      <x:color rgb="FF000000"/>
      <x:name val="Segoe UI Symbol"/>
    </x:font>
    <x:font>
      <x:sz val="10"/>
      <x:name val="等线"/>
    </x:font>
    <x:font>
      <x:sz val="10"/>
      <x:name val="等线"/>
    </x:font>
    <x:font>
      <x:b/>
      <x:sz val="22"/>
      <x:color rgb="FFFFFFFF"/>
      <x:name val="等线"/>
    </x:font>
    <x:font>
      <x:b/>
      <x:sz val="10"/>
      <x:name val="等线"/>
    </x:font>
    <x:font/>
    <x:font>
      <x:name val="等线"/>
    </x:font>
    <x:font>
      <x:b/>
      <x:sz val="16"/>
      <x:color rgb="FFFFFFFF"/>
    </x:font>
    <x:font>
      <x:sz val="10"/>
    </x:font>
    <x:font>
      <x:b/>
      <x:sz val="10"/>
    </x:font>
    <x:font>
      <x:b/>
      <x:sz val="10"/>
      <x:color rgb="FFC00000"/>
    </x:font>
    <x:font/>
    <x:font>
      <x:b/>
      <x:sz val="16"/>
      <x:color rgb="FFFFFFFF"/>
    </x:font>
    <x:font/>
  </x:fonts>
  <x:fills count="23">
    <x:fill>
      <x:patternFill patternType="none"/>
    </x:fill>
    <x:fill>
      <x:patternFill patternType="gray125"/>
    </x:fill>
    <x:fill>
      <x:patternFill patternType="solid">
        <x:fgColor rgb="FFF3F5F7"/>
      </x:patternFill>
    </x:fill>
    <x:fill>
      <x:patternFill patternType="solid">
        <x:fgColor rgb="FF7030A0"/>
      </x:patternFill>
    </x:fill>
    <x:fill>
      <x:patternFill patternType="solid">
        <x:fgColor rgb="FFFFDCC4"/>
      </x:patternFill>
    </x:fill>
    <x:fill>
      <x:patternFill patternType="solid">
        <x:fgColor rgb="FFFFC9C7"/>
      </x:patternFill>
    </x:fill>
    <x:fill>
      <x:patternFill patternType="solid">
        <x:fgColor rgb="FFFFC9C7"/>
      </x:patternFill>
    </x:fill>
    <x:fill>
      <x:patternFill patternType="none"/>
    </x:fill>
    <x:fill>
      <x:patternFill patternType="none"/>
    </x:fill>
    <x:fill>
      <x:patternFill patternType="solid">
        <x:fgColor rgb="FFD8D8D8"/>
      </x:patternFill>
    </x:fill>
    <x:fill>
      <x:patternFill patternType="solid">
        <x:fgColor rgb="FFFFDCC4"/>
      </x:patternFill>
    </x:fill>
    <x:fill>
      <x:patternFill patternType="none"/>
    </x:fill>
    <x:fill>
      <x:patternFill patternType="solid">
        <x:fgColor rgb="FFFFC9C7"/>
      </x:patternFill>
    </x:fill>
    <x:fill>
      <x:patternFill patternType="solid">
        <x:fgColor rgb="FF7030A0"/>
      </x:patternFill>
    </x:fill>
    <x:fill>
      <x:patternFill patternType="solid">
        <x:fgColor rgb="FFF3F5F7"/>
      </x:patternFill>
    </x:fill>
    <x:fill>
      <x:patternFill patternType="solid">
        <x:fgColor rgb="FFFFDCC4"/>
      </x:patternFill>
    </x:fill>
    <x:fill>
      <x:patternFill patternType="solid">
        <x:fgColor rgb="FFFFDCC4"/>
      </x:patternFill>
    </x:fill>
    <x:fill>
      <x:patternFill patternType="solid">
        <x:fgColor rgb="FFFFC9C7"/>
      </x:patternFill>
    </x:fill>
    <x:fill>
      <x:patternFill patternType="solid">
        <x:fgColor rgb="FFF3F5F7"/>
      </x:patternFill>
    </x:fill>
    <x:fill>
      <x:patternFill patternType="none"/>
    </x:fill>
    <x:fill>
      <x:patternFill patternType="none"/>
    </x:fill>
    <x:fill>
      <x:patternFill patternType="solid">
        <x:fgColor rgb="FF7030A0"/>
      </x:patternFill>
    </x:fill>
    <x:fill>
      <x:patternFill patternType="solid">
        <x:fgColor rgb="FFD8D8D8"/>
      </x:patternFill>
    </x:fill>
  </x:fills>
  <x:borders count="13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/>
    <x:border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 diagonalUp="1" diagonalDown="1"/>
    <x:border diagonalUp="1" diagonalDown="1">
      <x:left style="thin">
        <x:color rgb="FF000000"/>
      </x:left>
      <x:top style="thin">
        <x:color rgb="FF000000"/>
      </x:top>
      <x:bottom style="thin">
        <x:color rgb="FF000000"/>
      </x:bottom>
    </x:border>
    <x:border diagonalUp="1" diagonalDown="1"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/>
  </x:borders>
  <x:cellStyleXfs count="1">
    <x:xf numFmtId="0" fontId="0" fillId="0" borderId="0" xfId="0">
      <x:alignment vertical="center"/>
    </x:xf>
  </x:cellStyleXfs>
  <x:cellXfs count="99">
    <x:xf numFmtId="0" fontId="0" fillId="0" borderId="0" xfId="0">
      <x:alignment vertical="center"/>
    </x:xf>
    <x:xf numFmtId="0" fontId="1" fillId="0" borderId="0" xfId="0">
      <x:alignment vertical="center"/>
    </x:xf>
    <x:xf numFmtId="0" fontId="2" fillId="0" borderId="0" xfId="0">
      <x:alignment horizontal="center" vertical="center"/>
    </x:xf>
    <x:xf fontId="0" fillId="0" borderId="0" xfId="0">
      <x:alignment vertical="center"/>
    </x:xf>
    <x:xf fontId="3" fillId="2" borderId="1" xfId="0">
      <x:alignment horizontal="center" vertical="center"/>
    </x:xf>
    <x:xf fontId="3" fillId="0" borderId="1" xfId="0">
      <x:alignment horizontal="center" vertical="center"/>
    </x:xf>
    <x:xf fontId="4" fillId="0" borderId="2" xfId="0">
      <x:alignment horizontal="center" vertical="center"/>
    </x:xf>
    <x:xf fontId="4" fillId="0" borderId="2" xfId="0">
      <x:alignment horizontal="center" vertical="center"/>
    </x:xf>
    <x:xf fontId="3" fillId="0" borderId="0" xfId="0">
      <x:alignment vertical="center" wrapText="1"/>
    </x:xf>
    <x:xf fontId="5" fillId="3" borderId="3" xfId="0">
      <x:alignment horizontal="center" vertical="center"/>
    </x:xf>
    <x:xf fontId="4" fillId="0" borderId="0" xfId="0">
      <x:alignment vertical="center" wrapText="1"/>
    </x:xf>
    <x:xf fontId="4" fillId="2" borderId="2" xfId="0">
      <x:alignment horizontal="center" vertical="center"/>
    </x:xf>
    <x:xf fontId="4" fillId="2" borderId="2" xfId="0">
      <x:alignment horizontal="center" vertical="center"/>
    </x:xf>
    <x:xf numFmtId="300" fontId="4" fillId="4" borderId="2" xfId="0">
      <x:alignment horizontal="center" vertical="center"/>
    </x:xf>
    <x:xf numFmtId="300" fontId="4" fillId="5" borderId="2" xfId="0">
      <x:alignment horizontal="center" vertical="center" wrapText="1"/>
    </x:xf>
    <x:xf fontId="6" fillId="4" borderId="2" xfId="0">
      <x:alignment horizontal="center" vertical="center" wrapText="1"/>
    </x:xf>
    <x:xf fontId="4" fillId="6" borderId="2" xfId="0">
      <x:alignment horizontal="center" vertical="center" wrapText="1"/>
    </x:xf>
    <x:xf fontId="4" fillId="2" borderId="2" xfId="0">
      <x:alignment horizontal="center" vertical="center" wrapText="1"/>
    </x:xf>
    <x:xf fontId="4" fillId="7" borderId="2" xfId="0">
      <x:alignment horizontal="center" vertical="center"/>
    </x:xf>
    <x:xf numFmtId="300" fontId="4" fillId="4" borderId="2" xfId="0">
      <x:alignment horizontal="center" vertical="center"/>
    </x:xf>
    <x:xf numFmtId="300" fontId="4" fillId="8" borderId="2" xfId="0">
      <x:alignment horizontal="center" vertical="center"/>
    </x:xf>
    <x:xf numFmtId="301" fontId="4" fillId="5" borderId="2" xfId="0">
      <x:alignment horizontal="center" vertical="center"/>
    </x:xf>
    <x:xf numFmtId="300" fontId="4" fillId="0" borderId="2" xfId="0">
      <x:alignment horizontal="center" vertical="center"/>
    </x:xf>
    <x:xf numFmtId="301" fontId="4" fillId="0" borderId="2" xfId="0">
      <x:alignment horizontal="center" vertical="center"/>
    </x:xf>
    <x:xf numFmtId="300" fontId="4" fillId="0" borderId="2" xfId="0">
      <x:alignment horizontal="center" vertical="center"/>
    </x:xf>
    <x:xf numFmtId="10" fontId="4" fillId="0" borderId="2" xfId="0">
      <x:alignment horizontal="center" vertical="center"/>
    </x:xf>
    <x:xf fontId="4" fillId="0" borderId="3" xfId="0">
      <x:alignment horizontal="center" vertical="center"/>
    </x:xf>
    <x:xf fontId="7" fillId="0" borderId="2" xfId="0">
      <x:alignment horizontal="center" vertical="center"/>
    </x:xf>
    <x:xf numFmtId="300" fontId="4" fillId="4" borderId="2" xfId="0">
      <x:alignment horizontal="right" vertical="center"/>
    </x:xf>
    <x:xf numFmtId="301" fontId="4" fillId="7" borderId="2" xfId="0">
      <x:alignment horizontal="right" vertical="center"/>
    </x:xf>
    <x:xf numFmtId="301" fontId="4" fillId="0" borderId="2" xfId="0">
      <x:alignment horizontal="right" vertical="center"/>
    </x:xf>
    <x:xf numFmtId="300" fontId="4" fillId="0" borderId="2" xfId="0">
      <x:alignment horizontal="right" vertical="center"/>
    </x:xf>
    <x:xf numFmtId="10" fontId="4" fillId="0" borderId="2" xfId="0">
      <x:alignment horizontal="center" vertical="center"/>
    </x:xf>
    <x:xf fontId="0" fillId="0" borderId="2" xfId="0">
      <x:alignment vertical="center"/>
    </x:xf>
    <x:xf fontId="4" fillId="9" borderId="2" xfId="0">
      <x:alignment horizontal="center" vertical="center"/>
    </x:xf>
    <x:xf fontId="7" fillId="0" borderId="4" xfId="0">
      <x:alignment horizontal="center" vertical="center"/>
    </x:xf>
    <x:xf numFmtId="300" fontId="4" fillId="5" borderId="2" xfId="0">
      <x:alignment horizontal="center" vertical="center"/>
    </x:xf>
    <x:xf fontId="8" fillId="0" borderId="2" xfId="0">
      <x:alignment horizontal="center" vertical="center"/>
    </x:xf>
    <x:xf fontId="4" fillId="0" borderId="2" xfId="0">
      <x:alignment horizontal="center" vertical="center" wrapText="1"/>
    </x:xf>
    <x:xf numFmtId="300" fontId="4" fillId="10" borderId="2" xfId="0">
      <x:alignment horizontal="center" vertical="center"/>
    </x:xf>
    <x:xf numFmtId="300" fontId="4" fillId="11" borderId="2" xfId="0">
      <x:alignment horizontal="center" vertical="center"/>
    </x:xf>
    <x:xf numFmtId="301" fontId="4" fillId="12" borderId="2" xfId="0">
      <x:alignment horizontal="center" vertical="center"/>
    </x:xf>
    <x:xf numFmtId="300" fontId="4" fillId="10" borderId="2" xfId="0">
      <x:alignment horizontal="right" vertical="center"/>
    </x:xf>
    <x:xf numFmtId="300" fontId="4" fillId="10" borderId="2" xfId="0">
      <x:alignment horizontal="right" vertical="center"/>
    </x:xf>
    <x:xf numFmtId="301" fontId="4" fillId="0" borderId="2" xfId="0">
      <x:alignment horizontal="right" vertical="center"/>
    </x:xf>
    <x:xf numFmtId="300" fontId="4" fillId="0" borderId="2" xfId="0">
      <x:alignment horizontal="right" vertical="center"/>
    </x:xf>
    <x:xf numFmtId="0" fontId="9" fillId="13" borderId="3" xfId="0">
      <x:alignment horizontal="center" vertical="center"/>
    </x:xf>
    <x:xf fontId="0" fillId="0" borderId="5" xfId="0">
      <x:alignment vertical="center"/>
    </x:xf>
    <x:xf numFmtId="0" fontId="10" fillId="0" borderId="6" xfId="0">
      <x:alignment vertical="center" wrapText="1"/>
    </x:xf>
    <x:xf fontId="0" fillId="0" borderId="7" xfId="0">
      <x:alignment vertical="center"/>
    </x:xf>
    <x:xf numFmtId="0" fontId="10" fillId="0" borderId="0" xfId="0">
      <x:alignment vertical="center" wrapText="1"/>
    </x:xf>
    <x:xf fontId="10" fillId="0" borderId="0" xfId="0">
      <x:alignment vertical="center"/>
    </x:xf>
    <x:xf numFmtId="0" fontId="10" fillId="14" borderId="2" xfId="0">
      <x:alignment horizontal="center" vertical="center"/>
    </x:xf>
    <x:xf numFmtId="302" fontId="10" fillId="15" borderId="2" xfId="0">
      <x:alignment horizontal="center" vertical="center"/>
    </x:xf>
    <x:xf numFmtId="0" fontId="10" fillId="12" borderId="2" xfId="0">
      <x:alignment horizontal="center" vertical="center" wrapText="1"/>
    </x:xf>
    <x:xf numFmtId="0" fontId="11" fillId="16" borderId="2" xfId="0">
      <x:alignment horizontal="center" vertical="center" wrapText="1"/>
    </x:xf>
    <x:xf numFmtId="0" fontId="11" fillId="15" borderId="2" xfId="0">
      <x:alignment horizontal="center" vertical="center" wrapText="1"/>
    </x:xf>
    <x:xf numFmtId="0" fontId="10" fillId="16" borderId="2" xfId="0">
      <x:alignment horizontal="center" vertical="center" wrapText="1"/>
    </x:xf>
    <x:xf numFmtId="0" fontId="10" fillId="14" borderId="2" xfId="0">
      <x:alignment horizontal="center" vertical="center" wrapText="1"/>
    </x:xf>
    <x:xf numFmtId="0" fontId="10" fillId="17" borderId="2" xfId="0">
      <x:alignment horizontal="center" vertical="center" wrapText="1"/>
    </x:xf>
    <x:xf numFmtId="0" fontId="10" fillId="18" borderId="2" xfId="0">
      <x:alignment horizontal="center" vertical="center" wrapText="1"/>
    </x:xf>
    <x:xf numFmtId="0" fontId="10" fillId="0" borderId="2" xfId="0">
      <x:alignment horizontal="center" vertical="center"/>
    </x:xf>
    <x:xf numFmtId="302" fontId="10" fillId="15" borderId="2" xfId="0">
      <x:alignment horizontal="right" vertical="center"/>
    </x:xf>
    <x:xf numFmtId="303" fontId="10" fillId="0" borderId="2" xfId="0">
      <x:alignment horizontal="right" vertical="center"/>
    </x:xf>
    <x:xf numFmtId="304" fontId="10" fillId="0" borderId="2" xfId="0">
      <x:alignment horizontal="right" vertical="center"/>
    </x:xf>
    <x:xf numFmtId="303" fontId="10" fillId="12" borderId="2" xfId="0">
      <x:alignment horizontal="right" vertical="center"/>
    </x:xf>
    <x:xf numFmtId="302" fontId="12" fillId="15" borderId="2" xfId="0">
      <x:alignment horizontal="right" vertical="center"/>
    </x:xf>
    <x:xf numFmtId="9" fontId="12" fillId="16" borderId="2" xfId="0">
      <x:alignment horizontal="right" vertical="center"/>
    </x:xf>
    <x:xf numFmtId="303" fontId="10" fillId="19" borderId="2" xfId="0">
      <x:alignment horizontal="right" vertical="center"/>
    </x:xf>
    <x:xf numFmtId="302" fontId="10" fillId="0" borderId="2" xfId="0">
      <x:alignment horizontal="right" vertical="center"/>
    </x:xf>
    <x:xf numFmtId="10" fontId="10" fillId="0" borderId="2" xfId="0">
      <x:alignment horizontal="right" vertical="center"/>
    </x:xf>
    <x:xf fontId="10" fillId="0" borderId="2" xfId="0">
      <x:alignment vertical="center"/>
    </x:xf>
    <x:xf numFmtId="302" fontId="10" fillId="16" borderId="2" xfId="0">
      <x:alignment horizontal="right" vertical="center"/>
    </x:xf>
    <x:xf numFmtId="9" fontId="10" fillId="16" borderId="2" xfId="0">
      <x:alignment horizontal="right" vertical="center"/>
    </x:xf>
    <x:xf numFmtId="302" fontId="10" fillId="0" borderId="2" xfId="0">
      <x:alignment vertical="center"/>
    </x:xf>
    <x:xf numFmtId="302" fontId="12" fillId="16" borderId="2" xfId="0">
      <x:alignment horizontal="right" vertical="center"/>
    </x:xf>
    <x:xf fontId="10" fillId="11" borderId="0" xfId="0">
      <x:alignment vertical="center"/>
    </x:xf>
    <x:xf numFmtId="4" fontId="10" fillId="0" borderId="0" xfId="0">
      <x:alignment vertical="center"/>
    </x:xf>
    <x:xf numFmtId="3" fontId="10" fillId="0" borderId="0" xfId="0">
      <x:alignment vertical="center"/>
    </x:xf>
    <x:xf fontId="13" fillId="20" borderId="8" xfId="0">
      <x:alignment vertical="center"/>
    </x:xf>
    <x:xf numFmtId="0" fontId="9" fillId="21" borderId="3" xfId="0">
      <x:alignment horizontal="center" vertical="center"/>
    </x:xf>
    <x:xf fontId="5" fillId="3" borderId="3" xfId="0">
      <x:alignment horizontal="center" vertical="center"/>
    </x:xf>
    <x:xf numFmtId="0" fontId="14" fillId="13" borderId="9" xfId="0">
      <x:alignment horizontal="center" vertical="center"/>
    </x:xf>
    <x:xf fontId="13" fillId="20" borderId="10" xfId="0">
      <x:alignment vertical="center"/>
    </x:xf>
    <x:xf fontId="0" fillId="0" borderId="11" xfId="0">
      <x:alignment vertical="center"/>
    </x:xf>
    <x:xf fontId="4" fillId="0" borderId="0" xfId="0">
      <x:alignment vertical="center" wrapText="1"/>
    </x:xf>
    <x:xf fontId="0" fillId="0" borderId="12" xfId="0">
      <x:alignment vertical="center"/>
    </x:xf>
    <x:xf fontId="6" fillId="4" borderId="2" xfId="0">
      <x:alignment horizontal="center" vertical="center" wrapText="1"/>
    </x:xf>
    <x:xf fontId="4" fillId="5" borderId="2" xfId="0">
      <x:alignment horizontal="center" vertical="center" wrapText="1"/>
    </x:xf>
    <x:xf fontId="4" fillId="2" borderId="2" xfId="0">
      <x:alignment horizontal="center" vertical="center" wrapText="1"/>
    </x:xf>
    <x:xf fontId="7" fillId="20" borderId="8" xfId="0">
      <x:alignment vertical="center"/>
    </x:xf>
    <x:xf fontId="0" fillId="0" borderId="2" xfId="0">
      <x:alignment horizontal="center" vertical="center"/>
    </x:xf>
    <x:xf fontId="7" fillId="7" borderId="8" xfId="0">
      <x:alignment vertical="center"/>
    </x:xf>
    <x:xf fontId="4" fillId="22" borderId="2" xfId="0">
      <x:alignment horizontal="center" vertical="center"/>
    </x:xf>
    <x:xf fontId="0" fillId="0" borderId="0" xfId="0">
      <x:alignment horizontal="center" vertical="center"/>
    </x:xf>
    <x:xf fontId="7" fillId="0" borderId="0" xfId="0">
      <x:alignment vertical="center"/>
    </x:xf>
    <x:xf fontId="7" fillId="0" borderId="0" xfId="0">
      <x:alignment horizontal="right" vertical="center"/>
    </x:xf>
    <x:xf fontId="15" fillId="0" borderId="0" xfId="0">
      <x:alignment vertical="center"/>
    </x:xf>
    <x:xf fontId="0" fillId="0" borderId="0" xfId="0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c6a14625004e47" /><Relationship Type="http://schemas.openxmlformats.org/officeDocument/2006/relationships/theme" Target="/xl/theme/theme1.xml" Id="R15b713f244754900" /><Relationship Type="http://schemas.openxmlformats.org/officeDocument/2006/relationships/sharedStrings" Target="/xl/sharedStrings.xml" Id="R184fd2a4240f41d9" /><Relationship Type="http://schemas.openxmlformats.org/officeDocument/2006/relationships/worksheet" Target="/xl/worksheets/sheet1.xml" Id="R69ce7084c9614362" /><Relationship Type="http://schemas.openxmlformats.org/officeDocument/2006/relationships/worksheet" Target="/xl/worksheets/sheet2.xml" Id="R1df125fa9c76494f" /><Relationship Type="http://schemas.openxmlformats.org/officeDocument/2006/relationships/worksheet" Target="/xl/worksheets/sheet3.xml" Id="R7ba35ed917d94bcd" /><Relationship Type="http://schemas.openxmlformats.org/officeDocument/2006/relationships/worksheet" Target="/xl/worksheets/sheet4.xml" Id="Rc1c27a1ac12a4e8f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v.douyin.com/dcP3cOC30h4/" TargetMode="External" Id="R1fb7edc142224f9b" /><Relationship Type="http://schemas.openxmlformats.org/officeDocument/2006/relationships/hyperlink" Target="https://v.douyin.com/SAEJqgoPkrY/" TargetMode="External" Id="Rb65d508e879a42af" /><Relationship Type="http://schemas.openxmlformats.org/officeDocument/2006/relationships/hyperlink" Target="https://v.douyin.com/DcH2brXPgvc/" TargetMode="External" Id="R7ac26113c363407b" /><Relationship Type="http://schemas.openxmlformats.org/officeDocument/2006/relationships/hyperlink" Target="https://v.douyin.com/38Scd6JrG_s/" TargetMode="External" Id="Rf45350d0e6b44225" /><Relationship Type="http://schemas.openxmlformats.org/officeDocument/2006/relationships/hyperlink" Target="https://v.douyin.com/JmcvjVd/" TargetMode="External" Id="R2791dec1d1134ef5" /><Relationship Type="http://schemas.openxmlformats.org/officeDocument/2006/relationships/hyperlink" Target="https://v.douyin.com/JmcXQpY/" TargetMode="External" Id="R7f009412da72451f" /><Relationship Type="http://schemas.openxmlformats.org/officeDocument/2006/relationships/hyperlink" Target="https://www.douyin.com/user/MS4wLjABAAAAJfqON1LDmWBPlUXvQ-iwZ6AZLbLuIj72uGiFUuot89k" TargetMode="External" Id="Rdb22d6d7ddc44cf3" /><Relationship Type="http://schemas.openxmlformats.org/officeDocument/2006/relationships/hyperlink" Target="https://v.douyin.com/JJ3p572/" TargetMode="External" Id="R72422b09f2844abd" /><Relationship Type="http://schemas.openxmlformats.org/officeDocument/2006/relationships/hyperlink" Target="https://v.douyin.com/ihb6eF8j/" TargetMode="External" Id="Rb5732bc6a2fe4bc1" /><Relationship Type="http://schemas.openxmlformats.org/officeDocument/2006/relationships/hyperlink" Target="https://v.douyin.com/jTKED_9fV4A/" TargetMode="External" Id="R16f0afa03dde4e38" /><Relationship Type="http://schemas.openxmlformats.org/officeDocument/2006/relationships/hyperlink" Target="https://www.douyin.com/user/MS4wLjABAAAAbRgpD5qO5M7mlI-ALMWDbsqjwiSeFC1WxNPKVgjsSCbFam1N0thGyVDw-PfRjICt" TargetMode="External" Id="R1ce1412d07c749a7" /><Relationship Type="http://schemas.openxmlformats.org/officeDocument/2006/relationships/hyperlink" Target="https://v.douyin.com/mFA-j2xaAJY/" TargetMode="External" Id="Rb7fcc59df3c84cb7" /><Relationship Type="http://schemas.openxmlformats.org/officeDocument/2006/relationships/hyperlink" Target="https://v.douyin.com/lIhi6TchbPw/" TargetMode="External" Id="Refe4fab3df6c4534" /><Relationship Type="http://schemas.openxmlformats.org/officeDocument/2006/relationships/hyperlink" Target="https://v.douyin.com/ettSTTldPIc/" TargetMode="External" Id="R0318b2b593214719" /><Relationship Type="http://schemas.openxmlformats.org/officeDocument/2006/relationships/hyperlink" Target="https://v.douyin.com/Vva749Cn4Fk/" TargetMode="External" Id="R7de6c1c4bfb44029" /><Relationship Type="http://schemas.openxmlformats.org/officeDocument/2006/relationships/hyperlink" Target="https://v.douyin.com/iSUabqnS/" TargetMode="External" Id="Rd2072ef451004db0" /><Relationship Type="http://schemas.openxmlformats.org/officeDocument/2006/relationships/hyperlink" Target="https://v.douyin.com/wq_9XvcbfS0/" TargetMode="External" Id="Re31af967bc424b49" /><Relationship Type="http://schemas.openxmlformats.org/officeDocument/2006/relationships/hyperlink" Target="https://v.douyin.com/jTTVNutNIRQ/" TargetMode="External" Id="Rb5a0dccb58f842d5" /><Relationship Type="http://schemas.openxmlformats.org/officeDocument/2006/relationships/hyperlink" Target="https://v.douyin.com/c2M4VXTdIvM/" TargetMode="External" Id="R35692d27462c4bb1" /><Relationship Type="http://schemas.openxmlformats.org/officeDocument/2006/relationships/hyperlink" Target="https://v.douyin.com/2hO1tem8Xhg/" TargetMode="External" Id="R440210befa9d42b4" /><Relationship Type="http://schemas.openxmlformats.org/officeDocument/2006/relationships/hyperlink" Target="https://v.douyin.com/m8vFSRuq1co/" TargetMode="External" Id="Rd228dc051654464e" /><Relationship Type="http://schemas.openxmlformats.org/officeDocument/2006/relationships/hyperlink" Target="https://v.douyin.com/dO7_tPj7Mgo/" TargetMode="External" Id="Re27dfab648f84f5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v.douyin.com/dcP3cOC30h4/" TargetMode="External" Id="R9365d11aae944ebc" /><Relationship Type="http://schemas.openxmlformats.org/officeDocument/2006/relationships/hyperlink" Target="https://v.douyin.com/SAEJqgoPkrY/" TargetMode="External" Id="R691c7d72166343fe" /><Relationship Type="http://schemas.openxmlformats.org/officeDocument/2006/relationships/hyperlink" Target="https://v.douyin.com/DcH2brXPgvc/" TargetMode="External" Id="R5372945c108e4583" /><Relationship Type="http://schemas.openxmlformats.org/officeDocument/2006/relationships/hyperlink" Target="https://v.douyin.com/38Scd6JrG_s/" TargetMode="External" Id="R0bee55750d2a4ddb" /><Relationship Type="http://schemas.openxmlformats.org/officeDocument/2006/relationships/hyperlink" Target="https://v.douyin.com/JmcvjVd/" TargetMode="External" Id="R57c4a18ed9c7485a" /><Relationship Type="http://schemas.openxmlformats.org/officeDocument/2006/relationships/hyperlink" Target="https://v.douyin.com/JmcXQpY/" TargetMode="External" Id="R9c486fb1d7d64172" /><Relationship Type="http://schemas.openxmlformats.org/officeDocument/2006/relationships/hyperlink" Target="https://www.douyin.com/user/MS4wLjABAAAAJfqON1LDmWBPlUXvQ-iwZ6AZLbLuIj72uGiFUuot89k" TargetMode="External" Id="R4cc6266a24e24fa8" /><Relationship Type="http://schemas.openxmlformats.org/officeDocument/2006/relationships/hyperlink" Target="https://v.douyin.com/JJ3p572/" TargetMode="External" Id="R9c9b60252a974244" /><Relationship Type="http://schemas.openxmlformats.org/officeDocument/2006/relationships/hyperlink" Target="https://v.douyin.com/ihb6eF8j/" TargetMode="External" Id="R681937a9af38402e" /><Relationship Type="http://schemas.openxmlformats.org/officeDocument/2006/relationships/hyperlink" Target="https://v.douyin.com/jTKED_9fV4A/" TargetMode="External" Id="R54ddececefd54cd3" /><Relationship Type="http://schemas.openxmlformats.org/officeDocument/2006/relationships/hyperlink" Target="https://www.douyin.com/user/MS4wLjABAAAAbRgpD5qO5M7mlI-ALMWDbsqjwiSeFC1WxNPKVgjsSCbFam1N0thGyVDw-PfRjICt" TargetMode="External" Id="Rd0476b645d0b429d" /><Relationship Type="http://schemas.openxmlformats.org/officeDocument/2006/relationships/hyperlink" Target="https://v.douyin.com/mFA-j2xaAJY/" TargetMode="External" Id="R77ea408a68cf4d2f" /><Relationship Type="http://schemas.openxmlformats.org/officeDocument/2006/relationships/hyperlink" Target="https://v.douyin.com/lIhi6TchbPw/" TargetMode="External" Id="Rd31320e39816499b" /><Relationship Type="http://schemas.openxmlformats.org/officeDocument/2006/relationships/hyperlink" Target="https://v.douyin.com/ettSTTldPIc/" TargetMode="External" Id="R9554d447fd9f4abe" /><Relationship Type="http://schemas.openxmlformats.org/officeDocument/2006/relationships/hyperlink" Target="https://v.douyin.com/Vva749Cn4Fk/" TargetMode="External" Id="Rc1faefd44a774b12" /><Relationship Type="http://schemas.openxmlformats.org/officeDocument/2006/relationships/hyperlink" Target="https://v.douyin.com/iSUabqnS/" TargetMode="External" Id="R12eb9fe14c254dd9" /><Relationship Type="http://schemas.openxmlformats.org/officeDocument/2006/relationships/hyperlink" Target="https://v.douyin.com/wq_9XvcbfS0/" TargetMode="External" Id="R58fc277acabe445e" /><Relationship Type="http://schemas.openxmlformats.org/officeDocument/2006/relationships/hyperlink" Target="https://v.douyin.com/jTTVNutNIRQ/" TargetMode="External" Id="Rde70eae6f3cb4279" /><Relationship Type="http://schemas.openxmlformats.org/officeDocument/2006/relationships/hyperlink" Target="https://v.douyin.com/c2M4VXTdIvM/" TargetMode="External" Id="R594d1889ebad46b4" /><Relationship Type="http://schemas.openxmlformats.org/officeDocument/2006/relationships/hyperlink" Target="https://v.douyin.com/2hO1tem8Xhg/" TargetMode="External" Id="Re08e165c09564621" /><Relationship Type="http://schemas.openxmlformats.org/officeDocument/2006/relationships/hyperlink" Target="https://v.douyin.com/m8vFSRuq1co/" TargetMode="External" Id="R1fa385c1eaac4a48" /><Relationship Type="http://schemas.openxmlformats.org/officeDocument/2006/relationships/hyperlink" Target="https://v.douyin.com/dO7_tPj7Mgo/" TargetMode="External" Id="R3f92bdfbf09c48b5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13" defaultRowHeight="18"/>
  <x:cols>
    <x:col min="1" max="1" width="13.081999778747559" style="95" customWidth="1"/>
    <x:col min="2" max="2" width="13.081999778747559" style="95" customWidth="1"/>
    <x:col min="3" max="3" width="13.081999778747559" style="95" customWidth="1"/>
    <x:col min="4" max="4" width="11.10159969329834" style="95" customWidth="1"/>
    <x:col min="5" max="5" width="10.343799591064453" style="95" customWidth="1"/>
    <x:col min="6" max="6" width="12.761699676513672" style="95" customWidth="1"/>
    <x:col min="7" max="7" width="19.832000732421875" style="95" customWidth="1"/>
    <x:col min="8" max="8" width="15.511699676513672" style="95" customWidth="1"/>
    <x:col min="9" max="9" width="12.8125" style="96" customWidth="1"/>
    <x:col min="10" max="10" width="15.781200408935547" style="95" customWidth="1"/>
    <x:col min="11" max="11" width="12.543000221252441" style="95" customWidth="1"/>
    <x:col min="12" max="17" width="12.144499778747559" style="95" customWidth="1"/>
    <x:col min="18" max="18" width="14.300800323486328" style="95" customWidth="1"/>
    <x:col min="19" max="19" width="12.144499778747559" style="95" customWidth="1"/>
    <x:col min="20" max="21" width="11.46090030670166" style="95" customWidth="1"/>
    <x:col min="22" max="22" width="11.871100425720215" style="95" customWidth="1"/>
    <x:col min="23" max="23" width="15.652299880981445" style="95" customWidth="1"/>
    <x:col min="24" max="24" width="17.792999267578125" style="97" customWidth="1"/>
    <x:col min="25" max="25" width="19.1914005279541" style="97" customWidth="1"/>
    <x:col min="26" max="36" width="13.671899795532227" style="95" customWidth="0"/>
  </x:cols>
  <x:sheetData>
    <x:row r="1" ht="43.5" customHeight="1">
      <x:c r="A1" s="46" t="s">
        <x:v>0</x:v>
      </x:c>
      <x:c r="B1" s="47" t="s">
        <x:v>1</x:v>
      </x:c>
      <x:c r="C1" s="47" t="s">
        <x:v>1</x:v>
      </x:c>
      <x:c r="D1" s="47" t="s">
        <x:v>1</x:v>
      </x:c>
      <x:c r="E1" s="47" t="s">
        <x:v>1</x:v>
      </x:c>
      <x:c r="F1" s="47" t="s">
        <x:v>1</x:v>
      </x:c>
      <x:c r="G1" s="47" t="s">
        <x:v>1</x:v>
      </x:c>
      <x:c r="H1" s="47" t="s">
        <x:v>1</x:v>
      </x:c>
      <x:c r="I1" s="47" t="s">
        <x:v>1</x:v>
      </x:c>
      <x:c r="J1" s="47" t="s">
        <x:v>1</x:v>
      </x:c>
      <x:c r="K1" s="47" t="s">
        <x:v>1</x:v>
      </x:c>
      <x:c r="L1" s="47" t="s">
        <x:v>1</x:v>
      </x:c>
      <x:c r="M1" s="47" t="s">
        <x:v>1</x:v>
      </x:c>
      <x:c r="N1" s="47" t="s">
        <x:v>1</x:v>
      </x:c>
      <x:c r="O1" s="47" t="s">
        <x:v>1</x:v>
      </x:c>
      <x:c r="P1" s="47" t="s">
        <x:v>1</x:v>
      </x:c>
      <x:c r="Q1" s="47" t="s">
        <x:v>1</x:v>
      </x:c>
      <x:c r="R1" s="47" t="s">
        <x:v>1</x:v>
      </x:c>
      <x:c r="S1" s="47" t="s">
        <x:v>1</x:v>
      </x:c>
    </x:row>
    <x:row r="2" s="51" customFormat="1" ht="79.5" customHeight="1">
      <x:c r="A2" s="48" t="s">
        <x:v>2</x:v>
      </x:c>
      <x:c r="B2" s="49" t="s">
        <x:v>1</x:v>
      </x:c>
      <x:c r="C2" s="49" t="s">
        <x:v>1</x:v>
      </x:c>
      <x:c r="D2" s="49" t="s">
        <x:v>1</x:v>
      </x:c>
      <x:c r="E2" s="49" t="s">
        <x:v>1</x:v>
      </x:c>
      <x:c r="F2" s="49" t="s">
        <x:v>1</x:v>
      </x:c>
      <x:c r="G2" s="49" t="s">
        <x:v>1</x:v>
      </x:c>
      <x:c r="H2" s="49" t="s">
        <x:v>1</x:v>
      </x:c>
      <x:c r="I2" s="49" t="s">
        <x:v>1</x:v>
      </x:c>
      <x:c r="J2" s="49" t="s">
        <x:v>1</x:v>
      </x:c>
      <x:c r="K2" s="49" t="s">
        <x:v>1</x:v>
      </x:c>
      <x:c r="L2" s="49" t="s">
        <x:v>1</x:v>
      </x:c>
      <x:c r="M2" s="49" t="s">
        <x:v>1</x:v>
      </x:c>
      <x:c r="N2" s="49" t="s">
        <x:v>1</x:v>
      </x:c>
      <x:c r="O2" s="49" t="s">
        <x:v>1</x:v>
      </x:c>
      <x:c r="P2" s="49" t="s">
        <x:v>1</x:v>
      </x:c>
      <x:c r="Q2" s="49" t="s">
        <x:v>1</x:v>
      </x:c>
      <x:c r="R2" s="49" t="s">
        <x:v>1</x:v>
      </x:c>
      <x:c r="S2" s="49" t="s">
        <x:v>1</x:v>
      </x:c>
      <x:c r="T2" s="50" t="s">
        <x:v>1</x:v>
      </x:c>
      <x:c r="U2" s="50" t="s">
        <x:v>1</x:v>
      </x:c>
      <x:c r="V2" s="51" t="s">
        <x:v>1</x:v>
      </x:c>
      <x:c r="W2" s="51" t="s">
        <x:v>1</x:v>
      </x:c>
      <x:c r="X2" s="51" t="s">
        <x:v>1</x:v>
      </x:c>
      <x:c r="Y2" s="51" t="s">
        <x:v>1</x:v>
      </x:c>
      <x:c r="Z2" s="51" t="s">
        <x:v>1</x:v>
      </x:c>
      <x:c r="AA2" s="51" t="s">
        <x:v>1</x:v>
      </x:c>
      <x:c r="AB2" s="51" t="s">
        <x:v>1</x:v>
      </x:c>
      <x:c r="AC2" s="51" t="s">
        <x:v>1</x:v>
      </x:c>
      <x:c r="AD2" s="51" t="s">
        <x:v>1</x:v>
      </x:c>
      <x:c r="AE2" s="51" t="s">
        <x:v>1</x:v>
      </x:c>
      <x:c r="AF2" s="51" t="s">
        <x:v>1</x:v>
      </x:c>
      <x:c r="AG2" s="51" t="s">
        <x:v>1</x:v>
      </x:c>
      <x:c r="AH2" s="51" t="s">
        <x:v>1</x:v>
      </x:c>
      <x:c r="AI2" s="51" t="s">
        <x:v>1</x:v>
      </x:c>
      <x:c r="AJ2" s="51" t="s">
        <x:v>1</x:v>
      </x:c>
    </x:row>
    <x:row r="3" s="51" customFormat="1">
      <x:c r="A3" s="52" t="s">
        <x:v>3</x:v>
      </x:c>
      <x:c r="B3" s="53" t="s">
        <x:v>4</x:v>
      </x:c>
      <x:c r="C3" s="53" t="s">
        <x:v>5</x:v>
      </x:c>
      <x:c r="D3" s="52" t="s">
        <x:v>6</x:v>
      </x:c>
      <x:c r="E3" s="52" t="s">
        <x:v>7</x:v>
      </x:c>
      <x:c r="F3" s="54" t="s">
        <x:v>8</x:v>
      </x:c>
      <x:c r="G3" s="55" t="s">
        <x:v>9</x:v>
      </x:c>
      <x:c r="H3" s="56" t="s">
        <x:v>10</x:v>
      </x:c>
      <x:c r="I3" s="57" t="s">
        <x:v>11</x:v>
      </x:c>
      <x:c r="J3" s="58" t="s">
        <x:v>12</x:v>
      </x:c>
      <x:c r="K3" s="59" t="s">
        <x:v>13</x:v>
      </x:c>
      <x:c r="L3" s="58" t="s">
        <x:v>14</x:v>
      </x:c>
      <x:c r="M3" s="58" t="s">
        <x:v>15</x:v>
      </x:c>
      <x:c r="N3" s="58" t="s">
        <x:v>16</x:v>
      </x:c>
      <x:c r="O3" s="58" t="s">
        <x:v>17</x:v>
      </x:c>
      <x:c r="P3" s="52" t="s">
        <x:v>18</x:v>
      </x:c>
      <x:c r="Q3" s="52" t="s">
        <x:v>19</x:v>
      </x:c>
      <x:c r="R3" s="58" t="s">
        <x:v>20</x:v>
      </x:c>
      <x:c r="S3" s="52" t="s">
        <x:v>21</x:v>
      </x:c>
      <x:c r="T3" s="60" t="s">
        <x:v>22</x:v>
      </x:c>
      <x:c r="U3" s="60" t="s">
        <x:v>23</x:v>
      </x:c>
      <x:c r="V3" s="51" t="s">
        <x:v>1</x:v>
      </x:c>
      <x:c r="W3" s="51" t="s">
        <x:v>1</x:v>
      </x:c>
      <x:c r="X3" s="51" t="s">
        <x:v>1</x:v>
      </x:c>
      <x:c r="Y3" s="51" t="s">
        <x:v>1</x:v>
      </x:c>
      <x:c r="Z3" s="51" t="s">
        <x:v>1</x:v>
      </x:c>
      <x:c r="AA3" s="51" t="s">
        <x:v>1</x:v>
      </x:c>
      <x:c r="AB3" s="51" t="s">
        <x:v>1</x:v>
      </x:c>
      <x:c r="AC3" s="51" t="s">
        <x:v>1</x:v>
      </x:c>
      <x:c r="AD3" s="51" t="s">
        <x:v>1</x:v>
      </x:c>
      <x:c r="AE3" s="51" t="s">
        <x:v>1</x:v>
      </x:c>
      <x:c r="AF3" s="51" t="s">
        <x:v>1</x:v>
      </x:c>
      <x:c r="AG3" s="51" t="s">
        <x:v>1</x:v>
      </x:c>
      <x:c r="AH3" s="51" t="s">
        <x:v>1</x:v>
      </x:c>
      <x:c r="AI3" s="51" t="s">
        <x:v>1</x:v>
      </x:c>
      <x:c r="AJ3" s="51" t="s">
        <x:v>1</x:v>
      </x:c>
    </x:row>
    <x:row r="4" s="51" customFormat="1">
      <x:c r="A4" s="61" t="s">
        <x:v>24</x:v>
      </x:c>
      <x:c r="B4" s="62">
        <x:v>14800</x:v>
      </x:c>
      <x:c r="C4" s="62">
        <x:v>16600</x:v>
      </x:c>
      <x:c r="D4" s="63">
        <x:v>57000</x:v>
      </x:c>
      <x:c r="E4" s="64" t="n">
        <x:f>=B4/D4*1000</x:f>
        <x:v>259.64912280701753</x:v>
      </x:c>
      <x:c r="F4" s="65">
        <x:v>69000</x:v>
      </x:c>
      <x:c r="G4" s="66">
        <x:v>14800</x:v>
      </x:c>
      <x:c r="H4" s="66">
        <x:v>16600</x:v>
      </x:c>
      <x:c r="I4" s="67" t="n">
        <x:f>=(H4-C4)/C4</x:f>
        <x:v>0</x:v>
      </x:c>
      <x:c r="J4" s="68" t="n">
        <x:f>=(H4*80%)*1000/30</x:f>
        <x:v>442666.6666666667</x:v>
      </x:c>
      <x:c r="K4" s="65" t="n">
        <x:f>=H4/200*1000*1.5</x:f>
        <x:v>124500</x:v>
      </x:c>
      <x:c r="L4" s="69" t="n">
        <x:f>=K4*17/1000</x:f>
        <x:v>2116.5</x:v>
      </x:c>
      <x:c r="M4" s="69" t="n">
        <x:f>=K4*20/1000</x:f>
        <x:v>2490</x:v>
      </x:c>
      <x:c r="N4" s="69" t="n">
        <x:f>=J4-K4</x:f>
        <x:v>318166.6666666667</x:v>
      </x:c>
      <x:c r="O4" s="69" t="n">
        <x:f>=(N4/1000)*5.5</x:f>
        <x:v>1749.9166666666667</x:v>
      </x:c>
      <x:c r="P4" s="69" t="n">
        <x:f>=30*18+200*0.8+300*0.2+200*0.1</x:f>
        <x:v>780</x:v>
      </x:c>
      <x:c r="Q4" s="69" t="n">
        <x:f>=M4+O4+P4</x:f>
        <x:v>5019.916666666667</x:v>
      </x:c>
      <x:c r="R4" s="69" t="n">
        <x:f>=(H4*70%)-Q4</x:f>
        <x:v>6600.083333333333</x:v>
      </x:c>
      <x:c r="S4" s="70" t="n">
        <x:f>=R4/H4</x:f>
        <x:v>0.3975953815261044</x:v>
      </x:c>
      <x:c r="T4" s="71" t="n">
        <x:f>=R4*0.65</x:f>
        <x:v>4290.054166666667</x:v>
      </x:c>
      <x:c r="U4" s="70" t="n">
        <x:f>=T4/H4</x:f>
        <x:v>0.2584369979919679</x:v>
      </x:c>
      <x:c r="V4" s="51" t="s">
        <x:v>1</x:v>
      </x:c>
      <x:c r="W4" s="51" t="s">
        <x:v>1</x:v>
      </x:c>
      <x:c r="X4" s="51" t="s">
        <x:v>1</x:v>
      </x:c>
      <x:c r="Y4" s="51" t="s">
        <x:v>1</x:v>
      </x:c>
      <x:c r="Z4" s="51" t="s">
        <x:v>1</x:v>
      </x:c>
      <x:c r="AA4" s="51" t="s">
        <x:v>1</x:v>
      </x:c>
      <x:c r="AB4" s="51" t="s">
        <x:v>1</x:v>
      </x:c>
      <x:c r="AC4" s="51" t="s">
        <x:v>1</x:v>
      </x:c>
      <x:c r="AD4" s="51" t="s">
        <x:v>1</x:v>
      </x:c>
      <x:c r="AE4" s="51" t="s">
        <x:v>1</x:v>
      </x:c>
      <x:c r="AF4" s="51" t="s">
        <x:v>1</x:v>
      </x:c>
      <x:c r="AG4" s="51" t="s">
        <x:v>1</x:v>
      </x:c>
      <x:c r="AH4" s="51" t="s">
        <x:v>1</x:v>
      </x:c>
      <x:c r="AI4" s="51" t="s">
        <x:v>1</x:v>
      </x:c>
      <x:c r="AJ4" s="51" t="s">
        <x:v>1</x:v>
      </x:c>
    </x:row>
    <x:row r="5" s="51" customFormat="1">
      <x:c r="A5" s="61" t="s">
        <x:v>25</x:v>
      </x:c>
      <x:c r="B5" s="62">
        <x:v>11900</x:v>
      </x:c>
      <x:c r="C5" s="62">
        <x:v>14300</x:v>
      </x:c>
      <x:c r="D5" s="63">
        <x:v>32000</x:v>
      </x:c>
      <x:c r="E5" s="64" t="n">
        <x:f>=B5/D5*1000</x:f>
        <x:v>371.875</x:v>
      </x:c>
      <x:c r="F5" s="65">
        <x:v>54000</x:v>
      </x:c>
      <x:c r="G5" s="72" t="n">
        <x:f>=H5*0.7</x:f>
        <x:v>12600</x:v>
      </x:c>
      <x:c r="H5" s="62">
        <x:v>18000</x:v>
      </x:c>
      <x:c r="I5" s="73" t="n">
        <x:f>=(H5-C5)/C5</x:f>
        <x:v>0.25874125874125875</x:v>
      </x:c>
      <x:c r="J5" s="68" t="n">
        <x:f>=(H5*80%)*1000/30</x:f>
        <x:v>480000</x:v>
      </x:c>
      <x:c r="K5" s="65" t="n">
        <x:f>=H5/200*1000*1.5</x:f>
        <x:v>135000</x:v>
      </x:c>
      <x:c r="L5" s="69" t="n">
        <x:f>=K5*17/1000</x:f>
        <x:v>2295</x:v>
      </x:c>
      <x:c r="M5" s="69" t="n">
        <x:f>=K5*20/1000</x:f>
        <x:v>2700</x:v>
      </x:c>
      <x:c r="N5" s="69" t="n">
        <x:f>=J5-K5</x:f>
        <x:v>345000</x:v>
      </x:c>
      <x:c r="O5" s="69" t="n">
        <x:f>=(N5/1000)*5.5</x:f>
        <x:v>1897.5</x:v>
      </x:c>
      <x:c r="P5" s="69" t="n">
        <x:f>=20*18+200*0.8+300*0.2+200*0.1</x:f>
        <x:v>600</x:v>
      </x:c>
      <x:c r="Q5" s="69" t="n">
        <x:f>=M5+O5+P5</x:f>
        <x:v>5197.5</x:v>
      </x:c>
      <x:c r="R5" s="69" t="n">
        <x:f>=(H5*70%)-Q5</x:f>
        <x:v>7402.5</x:v>
      </x:c>
      <x:c r="S5" s="70" t="n">
        <x:f>=R5/H5</x:f>
        <x:v>0.41125</x:v>
      </x:c>
      <x:c r="T5" s="74" t="n">
        <x:f>=R5*0.65</x:f>
        <x:v>4811.625</x:v>
      </x:c>
      <x:c r="U5" s="70" t="n">
        <x:f>=T5/H5</x:f>
        <x:v>0.2673125</x:v>
      </x:c>
      <x:c r="V5" s="51" t="s">
        <x:v>1</x:v>
      </x:c>
      <x:c r="W5" s="51" t="s">
        <x:v>1</x:v>
      </x:c>
      <x:c r="X5" s="51" t="s">
        <x:v>1</x:v>
      </x:c>
      <x:c r="Y5" s="51" t="s">
        <x:v>1</x:v>
      </x:c>
      <x:c r="Z5" s="51" t="s">
        <x:v>1</x:v>
      </x:c>
      <x:c r="AA5" s="51" t="s">
        <x:v>1</x:v>
      </x:c>
      <x:c r="AB5" s="51" t="s">
        <x:v>1</x:v>
      </x:c>
      <x:c r="AC5" s="51" t="s">
        <x:v>1</x:v>
      </x:c>
      <x:c r="AD5" s="51" t="s">
        <x:v>1</x:v>
      </x:c>
      <x:c r="AE5" s="51" t="s">
        <x:v>1</x:v>
      </x:c>
      <x:c r="AF5" s="51" t="s">
        <x:v>1</x:v>
      </x:c>
      <x:c r="AG5" s="51" t="s">
        <x:v>1</x:v>
      </x:c>
      <x:c r="AH5" s="51" t="s">
        <x:v>1</x:v>
      </x:c>
      <x:c r="AI5" s="51" t="s">
        <x:v>1</x:v>
      </x:c>
      <x:c r="AJ5" s="51" t="s">
        <x:v>1</x:v>
      </x:c>
    </x:row>
    <x:row r="6" s="51" customFormat="1">
      <x:c r="A6" s="61" t="s">
        <x:v>26</x:v>
      </x:c>
      <x:c r="B6" s="62">
        <x:v>14250</x:v>
      </x:c>
      <x:c r="C6" s="62">
        <x:v>17100</x:v>
      </x:c>
      <x:c r="D6" s="63">
        <x:v>261000</x:v>
      </x:c>
      <x:c r="E6" s="64" t="n">
        <x:f>=B6/D6*1000</x:f>
        <x:v>54.59770114942529</x:v>
      </x:c>
      <x:c r="F6" s="65">
        <x:v>189000</x:v>
      </x:c>
      <x:c r="G6" s="72" t="n">
        <x:f>=H6*0.7</x:f>
        <x:v>14000</x:v>
      </x:c>
      <x:c r="H6" s="62">
        <x:v>20000</x:v>
      </x:c>
      <x:c r="I6" s="73" t="n">
        <x:f>=(H6-C6)/C6</x:f>
        <x:v>0.1695906432748538</x:v>
      </x:c>
      <x:c r="J6" s="68" t="n">
        <x:f>=(H6*80%)*1000/30</x:f>
        <x:v>533333.3333333334</x:v>
      </x:c>
      <x:c r="K6" s="65" t="n">
        <x:f>=H6/200*1000*1.5</x:f>
        <x:v>150000</x:v>
      </x:c>
      <x:c r="L6" s="69" t="n">
        <x:f>=K6*17/1000</x:f>
        <x:v>2550</x:v>
      </x:c>
      <x:c r="M6" s="69" t="n">
        <x:f>=K6*20/1000</x:f>
        <x:v>3000</x:v>
      </x:c>
      <x:c r="N6" s="69" t="n">
        <x:f>=J6-K6</x:f>
        <x:v>383333.3333333334</x:v>
      </x:c>
      <x:c r="O6" s="69" t="n">
        <x:f>=(N6/1000)*5.5</x:f>
        <x:v>2108.3333333333335</x:v>
      </x:c>
      <x:c r="P6" s="69" t="n">
        <x:f>=30*18+200*0.8+300*0.2+200*0.1</x:f>
        <x:v>780</x:v>
      </x:c>
      <x:c r="Q6" s="69" t="n">
        <x:f>=M6+O6+P6</x:f>
        <x:v>5888.333333333334</x:v>
      </x:c>
      <x:c r="R6" s="69" t="n">
        <x:f>=(H6*70%)-Q6</x:f>
        <x:v>8111.666666666666</x:v>
      </x:c>
      <x:c r="S6" s="70" t="n">
        <x:f>=R6/H6</x:f>
        <x:v>0.4055833333333333</x:v>
      </x:c>
      <x:c r="T6" s="74" t="n">
        <x:f>=R6*0.65</x:f>
        <x:v>5272.583333333333</x:v>
      </x:c>
      <x:c r="U6" s="70" t="n">
        <x:f>=T6/H6</x:f>
        <x:v>0.26362916666666664</x:v>
      </x:c>
      <x:c r="V6" s="51" t="s">
        <x:v>1</x:v>
      </x:c>
      <x:c r="W6" s="51" t="s">
        <x:v>1</x:v>
      </x:c>
      <x:c r="X6" s="51" t="s">
        <x:v>1</x:v>
      </x:c>
      <x:c r="Y6" s="51" t="s">
        <x:v>1</x:v>
      </x:c>
      <x:c r="Z6" s="51" t="s">
        <x:v>1</x:v>
      </x:c>
      <x:c r="AA6" s="51" t="s">
        <x:v>1</x:v>
      </x:c>
      <x:c r="AB6" s="51" t="s">
        <x:v>1</x:v>
      </x:c>
      <x:c r="AC6" s="51" t="s">
        <x:v>1</x:v>
      </x:c>
      <x:c r="AD6" s="51" t="s">
        <x:v>1</x:v>
      </x:c>
      <x:c r="AE6" s="51" t="s">
        <x:v>1</x:v>
      </x:c>
      <x:c r="AF6" s="51" t="s">
        <x:v>1</x:v>
      </x:c>
      <x:c r="AG6" s="51" t="s">
        <x:v>1</x:v>
      </x:c>
      <x:c r="AH6" s="51" t="s">
        <x:v>1</x:v>
      </x:c>
      <x:c r="AI6" s="51" t="s">
        <x:v>1</x:v>
      </x:c>
      <x:c r="AJ6" s="51" t="s">
        <x:v>1</x:v>
      </x:c>
    </x:row>
    <x:row r="7" s="51" customFormat="1">
      <x:c r="A7" s="61" t="s">
        <x:v>27</x:v>
      </x:c>
      <x:c r="B7" s="62">
        <x:v>8000</x:v>
      </x:c>
      <x:c r="C7" s="62">
        <x:v>10000</x:v>
      </x:c>
      <x:c r="D7" s="63">
        <x:v>35000</x:v>
      </x:c>
      <x:c r="E7" s="64" t="n">
        <x:f>=B7/D7*1000</x:f>
        <x:v>228.57142857142856</x:v>
      </x:c>
      <x:c r="F7" s="65">
        <x:v>84000</x:v>
      </x:c>
      <x:c r="G7" s="75" t="n">
        <x:f>=H7*0.7</x:f>
        <x:v>8400</x:v>
      </x:c>
      <x:c r="H7" s="66">
        <x:v>12000</x:v>
      </x:c>
      <x:c r="I7" s="67" t="n">
        <x:f>=(H7-C7)/C7</x:f>
        <x:v>0.2</x:v>
      </x:c>
      <x:c r="J7" s="68" t="n">
        <x:f>=(H7*80%)*1000/30</x:f>
        <x:v>320000</x:v>
      </x:c>
      <x:c r="K7" s="65" t="n">
        <x:f>=H7/200*1000*1.5</x:f>
        <x:v>90000</x:v>
      </x:c>
      <x:c r="L7" s="69" t="n">
        <x:f>=K7*17/1000</x:f>
        <x:v>1530</x:v>
      </x:c>
      <x:c r="M7" s="69" t="n">
        <x:f>=K7*20/1000</x:f>
        <x:v>1800</x:v>
      </x:c>
      <x:c r="N7" s="69" t="n">
        <x:f>=J7-K7</x:f>
        <x:v>230000</x:v>
      </x:c>
      <x:c r="O7" s="69" t="n">
        <x:f>=(N7/1000)*5.5</x:f>
        <x:v>1265</x:v>
      </x:c>
      <x:c r="P7" s="69" t="n">
        <x:f>=15*18+200*0.8+300*0.2+200*0.1</x:f>
        <x:v>510</x:v>
      </x:c>
      <x:c r="Q7" s="69" t="n">
        <x:f>=M7+O7+P7</x:f>
        <x:v>3575</x:v>
      </x:c>
      <x:c r="R7" s="69" t="n">
        <x:f>=(H7*70%)-Q7</x:f>
        <x:v>4825</x:v>
      </x:c>
      <x:c r="S7" s="70" t="n">
        <x:f>=R7/H7</x:f>
        <x:v>0.40208333333333335</x:v>
      </x:c>
      <x:c r="T7" s="74" t="n">
        <x:f>=R7*0.65</x:f>
        <x:v>3136.25</x:v>
      </x:c>
      <x:c r="U7" s="70" t="n">
        <x:f>=T7/H7</x:f>
        <x:v>0.26135416666666667</x:v>
      </x:c>
      <x:c r="V7" s="51" t="s">
        <x:v>1</x:v>
      </x:c>
      <x:c r="W7" s="76" t="s">
        <x:v>1</x:v>
      </x:c>
      <x:c r="X7" s="51" t="s">
        <x:v>1</x:v>
      </x:c>
      <x:c r="Y7" s="51" t="s">
        <x:v>1</x:v>
      </x:c>
      <x:c r="Z7" s="51" t="s">
        <x:v>1</x:v>
      </x:c>
      <x:c r="AA7" s="51" t="s">
        <x:v>1</x:v>
      </x:c>
      <x:c r="AB7" s="51" t="s">
        <x:v>1</x:v>
      </x:c>
      <x:c r="AC7" s="51" t="s">
        <x:v>1</x:v>
      </x:c>
      <x:c r="AD7" s="51" t="s">
        <x:v>1</x:v>
      </x:c>
      <x:c r="AE7" s="51" t="s">
        <x:v>1</x:v>
      </x:c>
      <x:c r="AF7" s="51" t="s">
        <x:v>1</x:v>
      </x:c>
      <x:c r="AG7" s="51" t="s">
        <x:v>1</x:v>
      </x:c>
      <x:c r="AH7" s="51" t="s">
        <x:v>1</x:v>
      </x:c>
      <x:c r="AI7" s="51" t="s">
        <x:v>1</x:v>
      </x:c>
      <x:c r="AJ7" s="51" t="s">
        <x:v>1</x:v>
      </x:c>
    </x:row>
    <x:row r="8" s="51" customFormat="1">
      <x:c r="A8" s="61" t="s">
        <x:v>28</x:v>
      </x:c>
      <x:c r="B8" s="62">
        <x:v>15000</x:v>
      </x:c>
      <x:c r="C8" s="62">
        <x:v>18000</x:v>
      </x:c>
      <x:c r="D8" s="63">
        <x:v>13000</x:v>
      </x:c>
      <x:c r="E8" s="64" t="n">
        <x:f>=B8/D8*1000</x:f>
        <x:v>1153.8461538461538</x:v>
      </x:c>
      <x:c r="F8" s="65">
        <x:v>84000</x:v>
      </x:c>
      <x:c r="G8" s="72" t="n">
        <x:f>=H8*0.7</x:f>
        <x:v>14000</x:v>
      </x:c>
      <x:c r="H8" s="62">
        <x:v>20000</x:v>
      </x:c>
      <x:c r="I8" s="73" t="n">
        <x:f>=(H8-C8)/C8</x:f>
        <x:v>0.1111111111111111</x:v>
      </x:c>
      <x:c r="J8" s="68" t="n">
        <x:f>=(H8*80%)*1000/30</x:f>
        <x:v>533333.3333333334</x:v>
      </x:c>
      <x:c r="K8" s="65" t="n">
        <x:f>=H8/200*1000*1.5</x:f>
        <x:v>150000</x:v>
      </x:c>
      <x:c r="L8" s="69" t="n">
        <x:f>=K8*17/1000</x:f>
        <x:v>2550</x:v>
      </x:c>
      <x:c r="M8" s="69" t="n">
        <x:f>=K8*20/1000</x:f>
        <x:v>3000</x:v>
      </x:c>
      <x:c r="N8" s="69" t="n">
        <x:f>=J8-K8</x:f>
        <x:v>383333.3333333334</x:v>
      </x:c>
      <x:c r="O8" s="69" t="n">
        <x:f>=(N8/1000)*5.5</x:f>
        <x:v>2108.3333333333335</x:v>
      </x:c>
      <x:c r="P8" s="69" t="n">
        <x:f>=30*18+200*0.8+300*0.2+200*0.1</x:f>
        <x:v>780</x:v>
      </x:c>
      <x:c r="Q8" s="69" t="n">
        <x:f>=M8+O8+P8</x:f>
        <x:v>5888.333333333334</x:v>
      </x:c>
      <x:c r="R8" s="69" t="n">
        <x:f>=(H8*70%)-Q8</x:f>
        <x:v>8111.666666666666</x:v>
      </x:c>
      <x:c r="S8" s="70" t="n">
        <x:f>=R8/H8</x:f>
        <x:v>0.4055833333333333</x:v>
      </x:c>
      <x:c r="T8" s="74" t="n">
        <x:f>=R8*0.65</x:f>
        <x:v>5272.583333333333</x:v>
      </x:c>
      <x:c r="U8" s="70" t="n">
        <x:f>=T8/H8</x:f>
        <x:v>0.26362916666666664</x:v>
      </x:c>
      <x:c r="V8" s="77" t="s">
        <x:v>1</x:v>
      </x:c>
      <x:c r="W8" s="78" t="s">
        <x:v>1</x:v>
      </x:c>
      <x:c r="X8" s="78" t="s">
        <x:v>1</x:v>
      </x:c>
      <x:c r="Y8" s="51" t="s">
        <x:v>1</x:v>
      </x:c>
      <x:c r="Z8" s="51" t="s">
        <x:v>1</x:v>
      </x:c>
      <x:c r="AA8" s="51" t="s">
        <x:v>1</x:v>
      </x:c>
      <x:c r="AB8" s="51" t="s">
        <x:v>1</x:v>
      </x:c>
      <x:c r="AC8" s="51" t="s">
        <x:v>1</x:v>
      </x:c>
      <x:c r="AD8" s="51" t="s">
        <x:v>1</x:v>
      </x:c>
      <x:c r="AE8" s="51" t="s">
        <x:v>1</x:v>
      </x:c>
      <x:c r="AF8" s="51" t="s">
        <x:v>1</x:v>
      </x:c>
      <x:c r="AG8" s="51" t="s">
        <x:v>1</x:v>
      </x:c>
      <x:c r="AH8" s="51" t="s">
        <x:v>1</x:v>
      </x:c>
      <x:c r="AI8" s="51" t="s">
        <x:v>1</x:v>
      </x:c>
      <x:c r="AJ8" s="51" t="s">
        <x:v>1</x:v>
      </x:c>
    </x:row>
    <x:row r="9" s="51" customFormat="1">
      <x:c r="A9" s="61" t="s">
        <x:v>29</x:v>
      </x:c>
      <x:c r="B9" s="62">
        <x:v>10000</x:v>
      </x:c>
      <x:c r="C9" s="62">
        <x:v>12000</x:v>
      </x:c>
      <x:c r="D9" s="63">
        <x:v>26000</x:v>
      </x:c>
      <x:c r="E9" s="64" t="n">
        <x:f>=B9/D9*1000</x:f>
        <x:v>384.61538461538464</x:v>
      </x:c>
      <x:c r="F9" s="65">
        <x:v>70000</x:v>
      </x:c>
      <x:c r="G9" s="75" t="n">
        <x:f>=H9*0.7</x:f>
        <x:v>10500</x:v>
      </x:c>
      <x:c r="H9" s="66">
        <x:v>15000</x:v>
      </x:c>
      <x:c r="I9" s="67" t="n">
        <x:f>=(H9-C9)/C9</x:f>
        <x:v>0.25</x:v>
      </x:c>
      <x:c r="J9" s="68" t="n">
        <x:f>=(H9*80%)*1000/30</x:f>
        <x:v>400000</x:v>
      </x:c>
      <x:c r="K9" s="65" t="n">
        <x:f>=H9/200*1000*1.5</x:f>
        <x:v>112500</x:v>
      </x:c>
      <x:c r="L9" s="69" t="n">
        <x:f>=K9*17/1000</x:f>
        <x:v>1912.5</x:v>
      </x:c>
      <x:c r="M9" s="69" t="n">
        <x:f>=K9*20/1000</x:f>
        <x:v>2250</x:v>
      </x:c>
      <x:c r="N9" s="69" t="n">
        <x:f>=J9-K9</x:f>
        <x:v>287500</x:v>
      </x:c>
      <x:c r="O9" s="69" t="n">
        <x:f>=(N9/1000)*5.5</x:f>
        <x:v>1581.25</x:v>
      </x:c>
      <x:c r="P9" s="69" t="n">
        <x:f>=20*18+200*0.8+300*0.2+200*0.1</x:f>
        <x:v>600</x:v>
      </x:c>
      <x:c r="Q9" s="69" t="n">
        <x:f>=M9+O9+P9</x:f>
        <x:v>4431.25</x:v>
      </x:c>
      <x:c r="R9" s="69" t="n">
        <x:f>=(H9*70%)-Q9</x:f>
        <x:v>6068.75</x:v>
      </x:c>
      <x:c r="S9" s="70" t="n">
        <x:f>=R9/H9</x:f>
        <x:v>0.40458333333333335</x:v>
      </x:c>
      <x:c r="T9" s="74" t="n">
        <x:f>=R9*0.65</x:f>
        <x:v>3944.6875</x:v>
      </x:c>
      <x:c r="U9" s="70" t="n">
        <x:f>=T9/H9</x:f>
        <x:v>0.26297916666666665</x:v>
      </x:c>
      <x:c r="V9" s="51" t="s">
        <x:v>1</x:v>
      </x:c>
      <x:c r="W9" s="51" t="s">
        <x:v>1</x:v>
      </x:c>
      <x:c r="X9" s="51" t="s">
        <x:v>1</x:v>
      </x:c>
      <x:c r="Y9" s="51" t="s">
        <x:v>1</x:v>
      </x:c>
      <x:c r="Z9" s="51" t="s">
        <x:v>1</x:v>
      </x:c>
      <x:c r="AA9" s="51" t="s">
        <x:v>1</x:v>
      </x:c>
      <x:c r="AB9" s="51" t="s">
        <x:v>1</x:v>
      </x:c>
      <x:c r="AC9" s="51" t="s">
        <x:v>1</x:v>
      </x:c>
      <x:c r="AD9" s="51" t="s">
        <x:v>1</x:v>
      </x:c>
      <x:c r="AE9" s="51" t="s">
        <x:v>1</x:v>
      </x:c>
      <x:c r="AF9" s="51" t="s">
        <x:v>1</x:v>
      </x:c>
      <x:c r="AG9" s="51" t="s">
        <x:v>1</x:v>
      </x:c>
      <x:c r="AH9" s="51" t="s">
        <x:v>1</x:v>
      </x:c>
      <x:c r="AI9" s="51" t="s">
        <x:v>1</x:v>
      </x:c>
      <x:c r="AJ9" s="51" t="s">
        <x:v>1</x:v>
      </x:c>
    </x:row>
    <x:row r="10" s="51" customFormat="1">
      <x:c r="A10" s="61" t="s">
        <x:v>30</x:v>
      </x:c>
      <x:c r="B10" s="62">
        <x:v>8000</x:v>
      </x:c>
      <x:c r="C10" s="62">
        <x:v>10000</x:v>
      </x:c>
      <x:c r="D10" s="63">
        <x:v>26000</x:v>
      </x:c>
      <x:c r="E10" s="64" t="n">
        <x:f>=B10/D10*1000</x:f>
        <x:v>307.69230769230774</x:v>
      </x:c>
      <x:c r="F10" s="65">
        <x:v>97000</x:v>
      </x:c>
      <x:c r="G10" s="66">
        <x:v>8000</x:v>
      </x:c>
      <x:c r="H10" s="66">
        <x:v>10000</x:v>
      </x:c>
      <x:c r="I10" s="67" t="n">
        <x:f>=(H10-C10)/C10</x:f>
        <x:v>0</x:v>
      </x:c>
      <x:c r="J10" s="68" t="n">
        <x:f>=(H10*80%)*1000/30</x:f>
        <x:v>266666.6666666667</x:v>
      </x:c>
      <x:c r="K10" s="65" t="n">
        <x:f>=H10/200*1000*1.5</x:f>
        <x:v>75000</x:v>
      </x:c>
      <x:c r="L10" s="69" t="n">
        <x:f>=K10*17/1000</x:f>
        <x:v>1275</x:v>
      </x:c>
      <x:c r="M10" s="69" t="n">
        <x:f>=K10*20/1000</x:f>
        <x:v>1500</x:v>
      </x:c>
      <x:c r="N10" s="69" t="n">
        <x:f>=J10-K10</x:f>
        <x:v>191666.6666666667</x:v>
      </x:c>
      <x:c r="O10" s="69" t="n">
        <x:f>=(N10/1000)*5.5</x:f>
        <x:v>1054.1666666666667</x:v>
      </x:c>
      <x:c r="P10" s="69" t="n">
        <x:f>=15*18+200*0.8+300*0.2+200*0.1</x:f>
        <x:v>510</x:v>
      </x:c>
      <x:c r="Q10" s="69" t="n">
        <x:f>=M10+O10+P10</x:f>
        <x:v>3064.166666666667</x:v>
      </x:c>
      <x:c r="R10" s="69" t="n">
        <x:f>=(H10*70%)-Q10</x:f>
        <x:v>3935.833333333333</x:v>
      </x:c>
      <x:c r="S10" s="70" t="n">
        <x:f>=R10/H10</x:f>
        <x:v>0.3935833333333333</x:v>
      </x:c>
      <x:c r="T10" s="74" t="n">
        <x:f>=R10*0.65</x:f>
        <x:v>2558.2916666666665</x:v>
      </x:c>
      <x:c r="U10" s="70" t="n">
        <x:f>=T10/H10</x:f>
        <x:v>0.25582916666666666</x:v>
      </x:c>
      <x:c r="V10" s="51" t="s">
        <x:v>1</x:v>
      </x:c>
      <x:c r="W10" s="51" t="s">
        <x:v>1</x:v>
      </x:c>
      <x:c r="X10" s="51" t="s">
        <x:v>1</x:v>
      </x:c>
      <x:c r="Y10" s="51" t="s">
        <x:v>1</x:v>
      </x:c>
      <x:c r="Z10" s="51" t="s">
        <x:v>1</x:v>
      </x:c>
      <x:c r="AA10" s="51" t="s">
        <x:v>1</x:v>
      </x:c>
      <x:c r="AB10" s="51" t="s">
        <x:v>1</x:v>
      </x:c>
      <x:c r="AC10" s="51" t="s">
        <x:v>1</x:v>
      </x:c>
      <x:c r="AD10" s="51" t="s">
        <x:v>1</x:v>
      </x:c>
      <x:c r="AE10" s="51" t="s">
        <x:v>1</x:v>
      </x:c>
      <x:c r="AF10" s="51" t="s">
        <x:v>1</x:v>
      </x:c>
      <x:c r="AG10" s="51" t="s">
        <x:v>1</x:v>
      </x:c>
      <x:c r="AH10" s="51" t="s">
        <x:v>1</x:v>
      </x:c>
      <x:c r="AI10" s="51" t="s">
        <x:v>1</x:v>
      </x:c>
      <x:c r="AJ10" s="51" t="s">
        <x:v>1</x:v>
      </x:c>
    </x:row>
    <x:row r="14">
      <x:c r="Z14" s="79" t="s">
        <x:v>1</x:v>
      </x:c>
      <x:c r="AA14" s="79" t="s">
        <x:v>1</x:v>
      </x:c>
      <x:c r="AB14" s="79" t="s">
        <x:v>1</x:v>
      </x:c>
      <x:c r="AC14" s="79" t="s">
        <x:v>1</x:v>
      </x:c>
      <x:c r="AD14" s="79" t="s">
        <x:v>1</x:v>
      </x:c>
      <x:c r="AE14" s="79" t="s">
        <x:v>1</x:v>
      </x:c>
      <x:c r="AF14" s="79" t="s">
        <x:v>1</x:v>
      </x:c>
      <x:c r="AG14" s="79" t="s">
        <x:v>1</x:v>
      </x:c>
      <x:c r="AH14" s="79" t="s">
        <x:v>1</x:v>
      </x:c>
      <x:c r="AI14" s="79" t="s">
        <x:v>1</x:v>
      </x:c>
      <x:c r="AJ14" s="79" t="s">
        <x:v>1</x:v>
      </x:c>
    </x:row>
    <x:row r="15" ht="52.5" customHeight="1">
      <x:c r="A15" s="80" t="s">
        <x:v>31</x:v>
      </x:c>
      <x:c r="B15" s="81" t="s">
        <x:v>1</x:v>
      </x:c>
      <x:c r="C15" s="81" t="s">
        <x:v>1</x:v>
      </x:c>
      <x:c r="D15" s="81" t="s">
        <x:v>1</x:v>
      </x:c>
      <x:c r="E15" s="81" t="s">
        <x:v>1</x:v>
      </x:c>
      <x:c r="F15" s="81" t="s">
        <x:v>1</x:v>
      </x:c>
      <x:c r="G15" s="81" t="s">
        <x:v>1</x:v>
      </x:c>
      <x:c r="H15" s="81" t="s">
        <x:v>1</x:v>
      </x:c>
      <x:c r="I15" s="81" t="s">
        <x:v>1</x:v>
      </x:c>
      <x:c r="J15" s="81" t="s">
        <x:v>1</x:v>
      </x:c>
      <x:c r="K15" s="81" t="s">
        <x:v>1</x:v>
      </x:c>
      <x:c r="L15" s="9" t="s">
        <x:v>1</x:v>
      </x:c>
      <x:c r="M15" s="9" t="s">
        <x:v>1</x:v>
      </x:c>
      <x:c r="N15" s="9" t="s">
        <x:v>1</x:v>
      </x:c>
      <x:c r="O15" s="9" t="s">
        <x:v>1</x:v>
      </x:c>
      <x:c r="P15" s="9" t="s">
        <x:v>1</x:v>
      </x:c>
      <x:c r="Q15" s="9" t="s">
        <x:v>1</x:v>
      </x:c>
      <x:c r="R15" s="9" t="s">
        <x:v>1</x:v>
      </x:c>
      <x:c r="S15" s="9" t="s">
        <x:v>1</x:v>
      </x:c>
      <x:c r="T15" s="9" t="s">
        <x:v>1</x:v>
      </x:c>
      <x:c r="U15" s="9" t="s">
        <x:v>1</x:v>
      </x:c>
      <x:c r="V15" s="9" t="s">
        <x:v>1</x:v>
      </x:c>
      <x:c r="W15" s="9" t="s">
        <x:v>1</x:v>
      </x:c>
      <x:c r="X15" s="9" t="s">
        <x:v>1</x:v>
      </x:c>
      <x:c r="Z15" s="82" t="s">
        <x:v>1</x:v>
      </x:c>
      <x:c r="AA15" s="83" t="s">
        <x:v>1</x:v>
      </x:c>
      <x:c r="AB15" s="83" t="s">
        <x:v>1</x:v>
      </x:c>
      <x:c r="AC15" s="83" t="s">
        <x:v>1</x:v>
      </x:c>
      <x:c r="AD15" s="83" t="s">
        <x:v>1</x:v>
      </x:c>
      <x:c r="AE15" s="83" t="s">
        <x:v>1</x:v>
      </x:c>
      <x:c r="AF15" s="83" t="s">
        <x:v>1</x:v>
      </x:c>
      <x:c r="AG15" s="83" t="s">
        <x:v>1</x:v>
      </x:c>
      <x:c r="AH15" s="83" t="s">
        <x:v>1</x:v>
      </x:c>
      <x:c r="AI15" s="83" t="s">
        <x:v>1</x:v>
      </x:c>
      <x:c r="AJ15" s="83" t="s">
        <x:v>1</x:v>
      </x:c>
      <x:c r="AK15" s="84" t="s">
        <x:v>1</x:v>
      </x:c>
      <x:c r="AL15" s="84" t="s">
        <x:v>1</x:v>
      </x:c>
      <x:c r="AM15" s="84" t="s">
        <x:v>1</x:v>
      </x:c>
      <x:c r="AN15" s="84" t="s">
        <x:v>1</x:v>
      </x:c>
      <x:c r="AO15" s="84" t="s">
        <x:v>1</x:v>
      </x:c>
      <x:c r="AP15" s="84" t="s">
        <x:v>1</x:v>
      </x:c>
      <x:c r="AQ15" s="84" t="s">
        <x:v>1</x:v>
      </x:c>
      <x:c r="AR15" s="84" t="s">
        <x:v>1</x:v>
      </x:c>
    </x:row>
    <x:row r="16" ht="66.75" customHeight="1">
      <x:c r="A16" s="85" t="s">
        <x:v>32</x:v>
      </x:c>
      <x:c r="Z16" s="86" t="s">
        <x:v>1</x:v>
      </x:c>
      <x:c r="AA16" s="86" t="s">
        <x:v>1</x:v>
      </x:c>
      <x:c r="AB16" s="86" t="s">
        <x:v>1</x:v>
      </x:c>
      <x:c r="AC16" s="86" t="s">
        <x:v>1</x:v>
      </x:c>
      <x:c r="AD16" s="86" t="s">
        <x:v>1</x:v>
      </x:c>
      <x:c r="AE16" s="86" t="s">
        <x:v>1</x:v>
      </x:c>
      <x:c r="AF16" s="86" t="s">
        <x:v>1</x:v>
      </x:c>
      <x:c r="AG16" s="86" t="s">
        <x:v>1</x:v>
      </x:c>
      <x:c r="AH16" s="86" t="s">
        <x:v>1</x:v>
      </x:c>
      <x:c r="AI16" s="86" t="s">
        <x:v>1</x:v>
      </x:c>
      <x:c r="AJ16" s="86" t="s">
        <x:v>1</x:v>
      </x:c>
    </x:row>
    <x:row r="17">
      <x:c r="A17" s="12" t="s">
        <x:v>3</x:v>
      </x:c>
      <x:c r="B17" s="12" t="s">
        <x:v>33</x:v>
      </x:c>
      <x:c r="C17" s="19" t="s">
        <x:v>34</x:v>
      </x:c>
      <x:c r="D17" s="19" t="s">
        <x:v>35</x:v>
      </x:c>
      <x:c r="E17" s="14" t="s">
        <x:v>36</x:v>
      </x:c>
      <x:c r="F17" s="14" t="s">
        <x:v>37</x:v>
      </x:c>
      <x:c r="G17" s="12" t="s">
        <x:v>38</x:v>
      </x:c>
      <x:c r="H17" s="87" t="s">
        <x:v>39</x:v>
      </x:c>
      <x:c r="I17" s="88" t="s">
        <x:v>40</x:v>
      </x:c>
      <x:c r="J17" s="12" t="s">
        <x:v>41</x:v>
      </x:c>
      <x:c r="K17" s="89" t="s">
        <x:v>42</x:v>
      </x:c>
      <x:c r="L17" s="89" t="s">
        <x:v>43</x:v>
      </x:c>
      <x:c r="M17" s="12" t="s">
        <x:v>44</x:v>
      </x:c>
      <x:c r="N17" s="12" t="s">
        <x:v>45</x:v>
      </x:c>
      <x:c r="O17" s="12" t="s">
        <x:v>46</x:v>
      </x:c>
      <x:c r="P17" s="12" t="s">
        <x:v>47</x:v>
      </x:c>
      <x:c r="Q17" s="12" t="s">
        <x:v>48</x:v>
      </x:c>
      <x:c r="R17" s="12" t="s">
        <x:v>49</x:v>
      </x:c>
      <x:c r="S17" s="89" t="s">
        <x:v>50</x:v>
      </x:c>
      <x:c r="T17" s="89" t="s">
        <x:v>51</x:v>
      </x:c>
      <x:c r="U17" s="89" t="s">
        <x:v>52</x:v>
      </x:c>
      <x:c r="V17" s="89" t="s">
        <x:v>53</x:v>
      </x:c>
      <x:c r="W17" s="12" t="s">
        <x:v>54</x:v>
      </x:c>
      <x:c r="X17" s="12" t="s">
        <x:v>55</x:v>
      </x:c>
      <x:c r="Z17" s="79" t="s">
        <x:v>1</x:v>
      </x:c>
      <x:c r="AA17" s="90" t="s">
        <x:v>1</x:v>
      </x:c>
      <x:c r="AB17" s="79" t="s">
        <x:v>1</x:v>
      </x:c>
      <x:c r="AC17" s="79" t="s">
        <x:v>1</x:v>
      </x:c>
      <x:c r="AD17" s="90" t="s">
        <x:v>1</x:v>
      </x:c>
      <x:c r="AE17" s="90" t="s">
        <x:v>1</x:v>
      </x:c>
      <x:c r="AF17" s="79" t="s">
        <x:v>1</x:v>
      </x:c>
      <x:c r="AG17" s="79" t="s">
        <x:v>1</x:v>
      </x:c>
      <x:c r="AH17" s="79" t="s">
        <x:v>1</x:v>
      </x:c>
      <x:c r="AI17" s="79" t="s">
        <x:v>1</x:v>
      </x:c>
      <x:c r="AJ17" s="79" t="s">
        <x:v>1</x:v>
      </x:c>
    </x:row>
    <x:row r="18">
      <x:c r="A18" s="7" t="s">
        <x:v>56</x:v>
      </x:c>
      <x:c r="B18" s="7" t="s">
        <x:v>57</x:v>
      </x:c>
      <x:c r="C18" s="19">
        <x:v>10500</x:v>
      </x:c>
      <x:c r="D18" s="19" t="n">
        <x:f>=C18*0.6</x:f>
        <x:v>6300</x:v>
      </x:c>
      <x:c r="E18" s="20" t="s">
        <x:v>58</x:v>
      </x:c>
      <x:c r="F18" s="20" t="s">
        <x:v>58</x:v>
      </x:c>
      <x:c r="G18" s="7" t="s">
        <x:v>59</x:v>
      </x:c>
      <x:c r="H18" s="19" t="n">
        <x:f>=(D18)*(1)</x:f>
        <x:v>6300</x:v>
      </x:c>
      <x:c r="I18" s="21" t="e">
        <x:f>=ROUNDUP(C18*维护参数!$B$11/维护参数!$B$12*1000,0)</x:f>
        <x:v>#NAME?</x:v>
      </x:c>
      <x:c r="J18" s="7" t="s">
        <x:v>60</x:v>
      </x:c>
      <x:c r="K18" s="24" t="e">
        <x:f>=(MAX(维护参数!$B$4,ROUNDUP(I18/10000,0)))*(维护参数!$B$2)</x:f>
        <x:v>#NAME?</x:v>
      </x:c>
      <x:c r="L18" s="23" t="e">
        <x:f>=ROUNDUP(C18*维护参数!$B$16/维护参数!$B$15/1000,0)*1000</x:f>
        <x:v>#NAME?</x:v>
      </x:c>
      <x:c r="M18" s="23" t="e">
        <x:f>=ROUNDUP(C18*维护参数!$B$17/维护参数!$B$15/10,0)*10</x:f>
        <x:v>#NAME?</x:v>
      </x:c>
      <x:c r="N18" s="23" t="e">
        <x:f>=ROUNDUP(C18*维护参数!$B$18/维护参数!$B$15/10,0)*10</x:f>
        <x:v>#NAME?</x:v>
      </x:c>
      <x:c r="O18" s="23" t="e">
        <x:f>=ROUNDUP(C18*维护参数!$B$19/维护参数!$B$15/10,0)*10</x:f>
        <x:v>#NAME?</x:v>
      </x:c>
      <x:c r="P18" s="24" t="e">
        <x:f>=L18/1000*维护参数!$B$6+M18*维护参数!$B$7+N18*维护参数!$B$8+O18*维护参数!$B$9</x:f>
        <x:v>#NAME?</x:v>
      </x:c>
      <x:c r="Q18" s="24" t="e">
        <x:f>=SUM(K18,P18)</x:f>
        <x:v>#NAME?</x:v>
      </x:c>
      <x:c r="R18" s="32" t="e">
        <x:f>=Q18/H18</x:f>
        <x:v>#NAME?</x:v>
      </x:c>
      <x:c r="S18" s="24" t="e">
        <x:f>=H18-Q18</x:f>
        <x:v>#NAME?</x:v>
      </x:c>
      <x:c r="T18" s="32" t="e">
        <x:f>=S18/(C18)</x:f>
        <x:v>#NAME?</x:v>
      </x:c>
      <x:c r="U18" s="24" t="e">
        <x:f>=S18*维护参数!$B$20</x:f>
        <x:v>#NAME?</x:v>
      </x:c>
      <x:c r="V18" s="32" t="e">
        <x:f>=U18/(C18)</x:f>
        <x:v>#NAME?</x:v>
      </x:c>
      <x:c r="W18" s="26" t="s">
        <x:v>61</x:v>
      </x:c>
      <x:c r="X18" s="91" t="s">
        <x:v>62</x:v>
      </x:c>
      <x:c r="Z18" s="92" t="s">
        <x:v>1</x:v>
      </x:c>
      <x:c r="AA18" s="92" t="s">
        <x:v>1</x:v>
      </x:c>
      <x:c r="AB18" s="92" t="s">
        <x:v>1</x:v>
      </x:c>
      <x:c r="AC18" s="92" t="s">
        <x:v>1</x:v>
      </x:c>
      <x:c r="AD18" s="92" t="s">
        <x:v>1</x:v>
      </x:c>
      <x:c r="AE18" s="92" t="s">
        <x:v>1</x:v>
      </x:c>
      <x:c r="AF18" s="92" t="s">
        <x:v>1</x:v>
      </x:c>
      <x:c r="AG18" s="92" t="s">
        <x:v>1</x:v>
      </x:c>
      <x:c r="AH18" s="92" t="s">
        <x:v>1</x:v>
      </x:c>
      <x:c r="AI18" s="92" t="s">
        <x:v>1</x:v>
      </x:c>
      <x:c r="AJ18" s="92" t="s">
        <x:v>1</x:v>
      </x:c>
    </x:row>
    <x:row r="19">
      <x:c r="A19" s="7" t="s">
        <x:v>1</x:v>
      </x:c>
      <x:c r="B19" s="7" t="s">
        <x:v>1</x:v>
      </x:c>
      <x:c r="C19" s="28" t="s">
        <x:v>1</x:v>
      </x:c>
      <x:c r="D19" s="28" t="s">
        <x:v>1</x:v>
      </x:c>
      <x:c r="E19" s="28" t="s">
        <x:v>1</x:v>
      </x:c>
      <x:c r="F19" s="28" t="s">
        <x:v>1</x:v>
      </x:c>
      <x:c r="G19" s="7" t="s">
        <x:v>63</x:v>
      </x:c>
      <x:c r="H19" s="19" t="e">
        <x:f>=(C18)*(维护参数!$B$10)</x:f>
        <x:v>#NAME?</x:v>
      </x:c>
      <x:c r="I19" s="30" t="s">
        <x:v>1</x:v>
      </x:c>
      <x:c r="J19" s="7" t="s">
        <x:v>64</x:v>
      </x:c>
      <x:c r="K19" s="24" t="e">
        <x:f>=(MAX(维护参数!$B$5,ROUNDUP(I18/10000,0)))*(维护参数!$B$3)</x:f>
        <x:v>#NAME?</x:v>
      </x:c>
      <x:c r="L19" s="30" t="s">
        <x:v>1</x:v>
      </x:c>
      <x:c r="M19" s="30" t="s">
        <x:v>1</x:v>
      </x:c>
      <x:c r="N19" s="30" t="s">
        <x:v>1</x:v>
      </x:c>
      <x:c r="O19" s="30" t="s">
        <x:v>1</x:v>
      </x:c>
      <x:c r="P19" s="31" t="s">
        <x:v>1</x:v>
      </x:c>
      <x:c r="Q19" s="24" t="e">
        <x:f>=SUM(K19,P18)</x:f>
        <x:v>#NAME?</x:v>
      </x:c>
      <x:c r="R19" s="32" t="e">
        <x:f>=Q19/H19</x:f>
        <x:v>#NAME?</x:v>
      </x:c>
      <x:c r="S19" s="24" t="e">
        <x:f>=H19-Q19</x:f>
        <x:v>#NAME?</x:v>
      </x:c>
      <x:c r="T19" s="32" t="e">
        <x:f>=S19/(C18)</x:f>
        <x:v>#NAME?</x:v>
      </x:c>
      <x:c r="U19" s="24" t="e">
        <x:f>=S19*维护参数!$B$20</x:f>
        <x:v>#NAME?</x:v>
      </x:c>
      <x:c r="V19" s="32" t="e">
        <x:f>=U19/(C18)</x:f>
        <x:v>#NAME?</x:v>
      </x:c>
      <x:c r="W19" s="26" t="s">
        <x:v>1</x:v>
      </x:c>
      <x:c r="X19" s="33" t="s">
        <x:v>1</x:v>
      </x:c>
      <x:c r="Z19" s="90" t="s">
        <x:v>1</x:v>
      </x:c>
      <x:c r="AA19" s="90" t="s">
        <x:v>1</x:v>
      </x:c>
      <x:c r="AB19" s="92" t="s">
        <x:v>1</x:v>
      </x:c>
      <x:c r="AC19" s="92" t="s">
        <x:v>1</x:v>
      </x:c>
      <x:c r="AD19" s="92" t="s">
        <x:v>1</x:v>
      </x:c>
      <x:c r="AE19" s="92" t="s">
        <x:v>1</x:v>
      </x:c>
      <x:c r="AF19" s="90" t="s">
        <x:v>1</x:v>
      </x:c>
      <x:c r="AG19" s="92" t="s">
        <x:v>1</x:v>
      </x:c>
      <x:c r="AH19" s="92" t="s">
        <x:v>1</x:v>
      </x:c>
      <x:c r="AI19" s="90" t="s">
        <x:v>1</x:v>
      </x:c>
      <x:c r="AJ19" s="90" t="s">
        <x:v>1</x:v>
      </x:c>
    </x:row>
    <x:row r="20">
      <x:c r="A20" s="7" t="s">
        <x:v>65</x:v>
      </x:c>
      <x:c r="B20" s="7" t="s">
        <x:v>66</x:v>
      </x:c>
      <x:c r="C20" s="19">
        <x:v>11700</x:v>
      </x:c>
      <x:c r="D20" s="19" t="n">
        <x:f>=C20*0.6</x:f>
        <x:v>7020</x:v>
      </x:c>
      <x:c r="E20" s="20" t="s">
        <x:v>58</x:v>
      </x:c>
      <x:c r="F20" s="20" t="s">
        <x:v>58</x:v>
      </x:c>
      <x:c r="G20" s="7" t="s">
        <x:v>59</x:v>
      </x:c>
      <x:c r="H20" s="19" t="n">
        <x:f>=(D20)*(1)</x:f>
        <x:v>7020</x:v>
      </x:c>
      <x:c r="I20" s="21" t="e">
        <x:f>=ROUNDUP(C20*维护参数!$B$11/维护参数!$B$12*1000,0)</x:f>
        <x:v>#NAME?</x:v>
      </x:c>
      <x:c r="J20" s="7" t="s">
        <x:v>60</x:v>
      </x:c>
      <x:c r="K20" s="24" t="e">
        <x:f>=(MAX(维护参数!$B$4,ROUNDUP(I20/10000,0)))*(维护参数!$B$2)</x:f>
        <x:v>#NAME?</x:v>
      </x:c>
      <x:c r="L20" s="23" t="e">
        <x:f>=ROUNDUP(C20*维护参数!$B$16/维护参数!$B$15/1000,0)*1000</x:f>
        <x:v>#NAME?</x:v>
      </x:c>
      <x:c r="M20" s="23" t="e">
        <x:f>=ROUNDUP(C20*维护参数!$B$17/维护参数!$B$15/10,0)*10</x:f>
        <x:v>#NAME?</x:v>
      </x:c>
      <x:c r="N20" s="23" t="e">
        <x:f>=ROUNDUP(C20*维护参数!$B$18/维护参数!$B$15/10,0)*10</x:f>
        <x:v>#NAME?</x:v>
      </x:c>
      <x:c r="O20" s="23" t="e">
        <x:f>=ROUNDUP(C20*维护参数!$B$19/维护参数!$B$15/10,0)*10</x:f>
        <x:v>#NAME?</x:v>
      </x:c>
      <x:c r="P20" s="24" t="e">
        <x:f>=L20/1000*维护参数!$B$6+M20*维护参数!$B$7+N20*维护参数!$B$8+O20*维护参数!$B$9</x:f>
        <x:v>#NAME?</x:v>
      </x:c>
      <x:c r="Q20" s="24" t="e">
        <x:f>=SUM(K20,P20)</x:f>
        <x:v>#NAME?</x:v>
      </x:c>
      <x:c r="R20" s="32" t="e">
        <x:f>=Q20/H20</x:f>
        <x:v>#NAME?</x:v>
      </x:c>
      <x:c r="S20" s="24" t="e">
        <x:f>=H20-Q20</x:f>
        <x:v>#NAME?</x:v>
      </x:c>
      <x:c r="T20" s="32" t="e">
        <x:f>=S20/(C20)</x:f>
        <x:v>#NAME?</x:v>
      </x:c>
      <x:c r="U20" s="24" t="e">
        <x:f>=S20*维护参数!$B$20</x:f>
        <x:v>#NAME?</x:v>
      </x:c>
      <x:c r="V20" s="32" t="e">
        <x:f>=U20/(C20)</x:f>
        <x:v>#NAME?</x:v>
      </x:c>
      <x:c r="W20" s="93" t="s">
        <x:v>67</x:v>
      </x:c>
      <x:c r="X20" s="94" t="s">
        <x:v>68</x:v>
      </x:c>
      <x:c r="Z20" s="90" t="s">
        <x:v>1</x:v>
      </x:c>
      <x:c r="AA20" s="90" t="s">
        <x:v>1</x:v>
      </x:c>
      <x:c r="AB20" s="92" t="s">
        <x:v>1</x:v>
      </x:c>
      <x:c r="AC20" s="92" t="s">
        <x:v>1</x:v>
      </x:c>
      <x:c r="AD20" s="92" t="s">
        <x:v>1</x:v>
      </x:c>
      <x:c r="AE20" s="92" t="s">
        <x:v>1</x:v>
      </x:c>
      <x:c r="AF20" s="90" t="s">
        <x:v>1</x:v>
      </x:c>
      <x:c r="AG20" s="92" t="s">
        <x:v>1</x:v>
      </x:c>
      <x:c r="AH20" s="90" t="s">
        <x:v>1</x:v>
      </x:c>
      <x:c r="AI20" s="90" t="s">
        <x:v>1</x:v>
      </x:c>
      <x:c r="AJ20" s="90" t="s">
        <x:v>1</x:v>
      </x:c>
    </x:row>
    <x:row r="21">
      <x:c r="A21" s="7" t="s">
        <x:v>1</x:v>
      </x:c>
      <x:c r="B21" s="7" t="s">
        <x:v>1</x:v>
      </x:c>
      <x:c r="C21" s="28" t="s">
        <x:v>1</x:v>
      </x:c>
      <x:c r="D21" s="28" t="s">
        <x:v>1</x:v>
      </x:c>
      <x:c r="E21" s="28" t="s">
        <x:v>1</x:v>
      </x:c>
      <x:c r="F21" s="28" t="s">
        <x:v>1</x:v>
      </x:c>
      <x:c r="G21" s="7" t="s">
        <x:v>63</x:v>
      </x:c>
      <x:c r="H21" s="19" t="e">
        <x:f>=(C20)*(维护参数!$B$10)</x:f>
        <x:v>#NAME?</x:v>
      </x:c>
      <x:c r="I21" s="30" t="s">
        <x:v>1</x:v>
      </x:c>
      <x:c r="J21" s="7" t="s">
        <x:v>64</x:v>
      </x:c>
      <x:c r="K21" s="24" t="e">
        <x:f>=(MAX(维护参数!$B$5,ROUNDUP(I20/10000,0)))*(维护参数!$B$3)</x:f>
        <x:v>#NAME?</x:v>
      </x:c>
      <x:c r="L21" s="30" t="s">
        <x:v>1</x:v>
      </x:c>
      <x:c r="M21" s="30" t="s">
        <x:v>1</x:v>
      </x:c>
      <x:c r="N21" s="30" t="s">
        <x:v>1</x:v>
      </x:c>
      <x:c r="O21" s="30" t="s">
        <x:v>1</x:v>
      </x:c>
      <x:c r="P21" s="31" t="s">
        <x:v>1</x:v>
      </x:c>
      <x:c r="Q21" s="24" t="e">
        <x:f>=SUM(K21,P20)</x:f>
        <x:v>#NAME?</x:v>
      </x:c>
      <x:c r="R21" s="32" t="e">
        <x:f>=Q21/H21</x:f>
        <x:v>#NAME?</x:v>
      </x:c>
      <x:c r="S21" s="24" t="e">
        <x:f>=H21-Q21</x:f>
        <x:v>#NAME?</x:v>
      </x:c>
      <x:c r="T21" s="32" t="e">
        <x:f>=S21/(C20)</x:f>
        <x:v>#NAME?</x:v>
      </x:c>
      <x:c r="U21" s="24" t="e">
        <x:f>=S21*维护参数!$B$20</x:f>
        <x:v>#NAME?</x:v>
      </x:c>
      <x:c r="V21" s="32" t="e">
        <x:f>=U21/(C20)</x:f>
        <x:v>#NAME?</x:v>
      </x:c>
      <x:c r="W21" s="7" t="s">
        <x:v>1</x:v>
      </x:c>
      <x:c r="X21" s="7" t="s">
        <x:v>1</x:v>
      </x:c>
      <x:c r="Z21" s="90" t="s">
        <x:v>1</x:v>
      </x:c>
      <x:c r="AA21" s="90" t="s">
        <x:v>1</x:v>
      </x:c>
      <x:c r="AB21" s="92" t="s">
        <x:v>1</x:v>
      </x:c>
      <x:c r="AC21" s="92" t="s">
        <x:v>1</x:v>
      </x:c>
      <x:c r="AD21" s="92" t="s">
        <x:v>1</x:v>
      </x:c>
      <x:c r="AE21" s="92" t="s">
        <x:v>1</x:v>
      </x:c>
      <x:c r="AF21" s="90" t="s">
        <x:v>1</x:v>
      </x:c>
      <x:c r="AG21" s="92" t="s">
        <x:v>1</x:v>
      </x:c>
      <x:c r="AH21" s="92" t="s">
        <x:v>1</x:v>
      </x:c>
      <x:c r="AI21" s="90" t="s">
        <x:v>1</x:v>
      </x:c>
      <x:c r="AJ21" s="90" t="s">
        <x:v>1</x:v>
      </x:c>
    </x:row>
    <x:row r="22">
      <x:c r="A22" s="7" t="s">
        <x:v>69</x:v>
      </x:c>
      <x:c r="B22" s="7" t="s">
        <x:v>66</x:v>
      </x:c>
      <x:c r="C22" s="19">
        <x:v>6000</x:v>
      </x:c>
      <x:c r="D22" s="19" t="n">
        <x:f>=C22*0.6</x:f>
        <x:v>3600</x:v>
      </x:c>
      <x:c r="E22" s="36">
        <x:v>9000</x:v>
      </x:c>
      <x:c r="F22" s="36" t="n">
        <x:f>=E22*0.6</x:f>
        <x:v>5400</x:v>
      </x:c>
      <x:c r="G22" s="7" t="s">
        <x:v>59</x:v>
      </x:c>
      <x:c r="H22" s="19" t="n">
        <x:f>=(D22)*(1)</x:f>
        <x:v>3600</x:v>
      </x:c>
      <x:c r="I22" s="21" t="e">
        <x:f>=ROUNDUP(C22*维护参数!$B$11/维护参数!$B$12*1000,0)</x:f>
        <x:v>#NAME?</x:v>
      </x:c>
      <x:c r="J22" s="7" t="s">
        <x:v>60</x:v>
      </x:c>
      <x:c r="K22" s="24" t="e">
        <x:f>=(MAX(维护参数!$B$4,ROUNDUP(I22/10000,0)))*(维护参数!$B$2)</x:f>
        <x:v>#NAME?</x:v>
      </x:c>
      <x:c r="L22" s="23" t="e">
        <x:f>=ROUNDUP(C22*维护参数!$B$16/维护参数!$B$15/1000,0)*1000</x:f>
        <x:v>#NAME?</x:v>
      </x:c>
      <x:c r="M22" s="23" t="e">
        <x:f>=ROUNDUP(C22*维护参数!$B$17/维护参数!$B$15/10,0)*10</x:f>
        <x:v>#NAME?</x:v>
      </x:c>
      <x:c r="N22" s="23" t="e">
        <x:f>=ROUNDUP(C22*维护参数!$B$18/维护参数!$B$15/10,0)*10</x:f>
        <x:v>#NAME?</x:v>
      </x:c>
      <x:c r="O22" s="23" t="e">
        <x:f>=ROUNDUP(C22*维护参数!$B$19/维护参数!$B$15/10,0)*10</x:f>
        <x:v>#NAME?</x:v>
      </x:c>
      <x:c r="P22" s="24" t="e">
        <x:f>=L22/1000*维护参数!$B$6+M22*维护参数!$B$7+N22*维护参数!$B$8+O22*维护参数!$B$9</x:f>
        <x:v>#NAME?</x:v>
      </x:c>
      <x:c r="Q22" s="24" t="e">
        <x:f>=SUM(K22,P22)</x:f>
        <x:v>#NAME?</x:v>
      </x:c>
      <x:c r="R22" s="32" t="e">
        <x:f>=Q22/H22</x:f>
        <x:v>#NAME?</x:v>
      </x:c>
      <x:c r="S22" s="24" t="e">
        <x:f>=H22-Q22</x:f>
        <x:v>#NAME?</x:v>
      </x:c>
      <x:c r="T22" s="32" t="e">
        <x:f>=S22/(C22)</x:f>
        <x:v>#NAME?</x:v>
      </x:c>
      <x:c r="U22" s="24" t="e">
        <x:f>=S22*维护参数!$B$20</x:f>
        <x:v>#NAME?</x:v>
      </x:c>
      <x:c r="V22" s="32" t="e">
        <x:f>=U22/(C22)</x:f>
        <x:v>#NAME?</x:v>
      </x:c>
      <x:c r="W22" s="7" t="s">
        <x:v>1</x:v>
      </x:c>
      <x:c r="X22" s="7" t="s">
        <x:v>70</x:v>
      </x:c>
      <x:c r="Z22" s="90" t="s">
        <x:v>1</x:v>
      </x:c>
      <x:c r="AA22" s="90" t="s">
        <x:v>1</x:v>
      </x:c>
      <x:c r="AB22" s="92" t="s">
        <x:v>1</x:v>
      </x:c>
      <x:c r="AC22" s="92" t="s">
        <x:v>1</x:v>
      </x:c>
      <x:c r="AD22" s="92" t="s">
        <x:v>1</x:v>
      </x:c>
      <x:c r="AE22" s="92" t="s">
        <x:v>1</x:v>
      </x:c>
      <x:c r="AF22" s="90" t="s">
        <x:v>1</x:v>
      </x:c>
      <x:c r="AG22" s="92" t="s">
        <x:v>1</x:v>
      </x:c>
      <x:c r="AH22" s="90" t="s">
        <x:v>1</x:v>
      </x:c>
      <x:c r="AI22" s="90" t="s">
        <x:v>1</x:v>
      </x:c>
      <x:c r="AJ22" s="90" t="s">
        <x:v>1</x:v>
      </x:c>
    </x:row>
    <x:row r="23">
      <x:c r="A23" s="7" t="s">
        <x:v>1</x:v>
      </x:c>
      <x:c r="B23" s="7" t="s">
        <x:v>1</x:v>
      </x:c>
      <x:c r="C23" s="28" t="s">
        <x:v>1</x:v>
      </x:c>
      <x:c r="D23" s="28" t="s">
        <x:v>1</x:v>
      </x:c>
      <x:c r="E23" s="28" t="s">
        <x:v>1</x:v>
      </x:c>
      <x:c r="F23" s="28" t="s">
        <x:v>1</x:v>
      </x:c>
      <x:c r="G23" s="7" t="s">
        <x:v>63</x:v>
      </x:c>
      <x:c r="H23" s="19" t="e">
        <x:f>=(C22)*(维护参数!$B$10)</x:f>
        <x:v>#NAME?</x:v>
      </x:c>
      <x:c r="I23" s="30" t="s">
        <x:v>1</x:v>
      </x:c>
      <x:c r="J23" s="7" t="s">
        <x:v>64</x:v>
      </x:c>
      <x:c r="K23" s="24" t="e">
        <x:f>=(MAX(维护参数!$B$5,ROUNDUP(I22/10000,0)))*(维护参数!$B$3)</x:f>
        <x:v>#NAME?</x:v>
      </x:c>
      <x:c r="L23" s="30" t="s">
        <x:v>1</x:v>
      </x:c>
      <x:c r="M23" s="30" t="s">
        <x:v>1</x:v>
      </x:c>
      <x:c r="N23" s="30" t="s">
        <x:v>1</x:v>
      </x:c>
      <x:c r="O23" s="30" t="s">
        <x:v>1</x:v>
      </x:c>
      <x:c r="P23" s="31" t="s">
        <x:v>1</x:v>
      </x:c>
      <x:c r="Q23" s="24" t="e">
        <x:f>=SUM(K23,P22)</x:f>
        <x:v>#NAME?</x:v>
      </x:c>
      <x:c r="R23" s="32" t="e">
        <x:f>=Q23/H23</x:f>
        <x:v>#NAME?</x:v>
      </x:c>
      <x:c r="S23" s="24" t="e">
        <x:f>=H23-Q23</x:f>
        <x:v>#NAME?</x:v>
      </x:c>
      <x:c r="T23" s="32" t="e">
        <x:f>=S23/(C22)</x:f>
        <x:v>#NAME?</x:v>
      </x:c>
      <x:c r="U23" s="24" t="e">
        <x:f>=S23*维护参数!$B$20</x:f>
        <x:v>#NAME?</x:v>
      </x:c>
      <x:c r="V23" s="32" t="e">
        <x:f>=U23/(C22)</x:f>
        <x:v>#NAME?</x:v>
      </x:c>
      <x:c r="W23" s="7" t="s">
        <x:v>1</x:v>
      </x:c>
      <x:c r="X23" s="7" t="s">
        <x:v>1</x:v>
      </x:c>
      <x:c r="Z23" s="90" t="s">
        <x:v>1</x:v>
      </x:c>
      <x:c r="AA23" s="90" t="s">
        <x:v>1</x:v>
      </x:c>
      <x:c r="AB23" s="92" t="s">
        <x:v>1</x:v>
      </x:c>
      <x:c r="AC23" s="92" t="s">
        <x:v>1</x:v>
      </x:c>
      <x:c r="AD23" s="92" t="s">
        <x:v>1</x:v>
      </x:c>
      <x:c r="AE23" s="92" t="s">
        <x:v>1</x:v>
      </x:c>
      <x:c r="AF23" s="90" t="s">
        <x:v>1</x:v>
      </x:c>
      <x:c r="AG23" s="92" t="s">
        <x:v>1</x:v>
      </x:c>
      <x:c r="AH23" s="92" t="s">
        <x:v>1</x:v>
      </x:c>
      <x:c r="AI23" s="90" t="s">
        <x:v>1</x:v>
      </x:c>
      <x:c r="AJ23" s="90" t="s">
        <x:v>1</x:v>
      </x:c>
    </x:row>
    <x:row r="24">
      <x:c r="A24" s="7" t="s">
        <x:v>71</x:v>
      </x:c>
      <x:c r="B24" s="7" t="s">
        <x:v>72</x:v>
      </x:c>
      <x:c r="C24" s="19">
        <x:v>6250</x:v>
      </x:c>
      <x:c r="D24" s="19" t="n">
        <x:f>=C24*0.6</x:f>
        <x:v>3750</x:v>
      </x:c>
      <x:c r="E24" s="36">
        <x:v>7000</x:v>
      </x:c>
      <x:c r="F24" s="36" t="n">
        <x:f>=E24*0.6</x:f>
        <x:v>4200</x:v>
      </x:c>
      <x:c r="G24" s="7" t="s">
        <x:v>59</x:v>
      </x:c>
      <x:c r="H24" s="19" t="n">
        <x:f>=(D24)*(1)</x:f>
        <x:v>3750</x:v>
      </x:c>
      <x:c r="I24" s="21" t="e">
        <x:f>=ROUNDUP(C24*维护参数!$B$11/维护参数!$B$12*1000,0)</x:f>
        <x:v>#NAME?</x:v>
      </x:c>
      <x:c r="J24" s="7" t="s">
        <x:v>60</x:v>
      </x:c>
      <x:c r="K24" s="24" t="e">
        <x:f>=(MAX(维护参数!$B$4,ROUNDUP(I24/10000,0)))*(维护参数!$B$2)</x:f>
        <x:v>#NAME?</x:v>
      </x:c>
      <x:c r="L24" s="23" t="e">
        <x:f>=ROUNDUP(C24*维护参数!$B$16/维护参数!$B$15/1000,0)*1000</x:f>
        <x:v>#NAME?</x:v>
      </x:c>
      <x:c r="M24" s="23" t="e">
        <x:f>=ROUNDUP(C24*维护参数!$B$17/维护参数!$B$15/10,0)*10</x:f>
        <x:v>#NAME?</x:v>
      </x:c>
      <x:c r="N24" s="23" t="e">
        <x:f>=ROUNDUP(C24*维护参数!$B$18/维护参数!$B$15/10,0)*10</x:f>
        <x:v>#NAME?</x:v>
      </x:c>
      <x:c r="O24" s="23" t="e">
        <x:f>=ROUNDUP(C24*维护参数!$B$19/维护参数!$B$15/10,0)*10</x:f>
        <x:v>#NAME?</x:v>
      </x:c>
      <x:c r="P24" s="24" t="e">
        <x:f>=L24/1000*维护参数!$B$6+M24*维护参数!$B$7+N24*维护参数!$B$8+O24*维护参数!$B$9</x:f>
        <x:v>#NAME?</x:v>
      </x:c>
      <x:c r="Q24" s="24" t="e">
        <x:f>=SUM(K24,P24)</x:f>
        <x:v>#NAME?</x:v>
      </x:c>
      <x:c r="R24" s="32" t="e">
        <x:f>=Q24/H24</x:f>
        <x:v>#NAME?</x:v>
      </x:c>
      <x:c r="S24" s="24" t="e">
        <x:f>=H24-Q24</x:f>
        <x:v>#NAME?</x:v>
      </x:c>
      <x:c r="T24" s="32" t="e">
        <x:f>=S24/(C24)</x:f>
        <x:v>#NAME?</x:v>
      </x:c>
      <x:c r="U24" s="24" t="e">
        <x:f>=S24*维护参数!$B$20</x:f>
        <x:v>#NAME?</x:v>
      </x:c>
      <x:c r="V24" s="32" t="e">
        <x:f>=U24/(C24)</x:f>
        <x:v>#NAME?</x:v>
      </x:c>
      <x:c r="W24" s="7" t="s">
        <x:v>1</x:v>
      </x:c>
      <x:c r="X24" s="7" t="s">
        <x:v>73</x:v>
      </x:c>
      <x:c r="Z24" s="90" t="s">
        <x:v>1</x:v>
      </x:c>
      <x:c r="AA24" s="90" t="s">
        <x:v>1</x:v>
      </x:c>
      <x:c r="AB24" s="92" t="s">
        <x:v>1</x:v>
      </x:c>
      <x:c r="AC24" s="92" t="s">
        <x:v>1</x:v>
      </x:c>
      <x:c r="AD24" s="92" t="s">
        <x:v>1</x:v>
      </x:c>
      <x:c r="AE24" s="92" t="s">
        <x:v>1</x:v>
      </x:c>
      <x:c r="AF24" s="90" t="s">
        <x:v>1</x:v>
      </x:c>
      <x:c r="AG24" s="92" t="s">
        <x:v>1</x:v>
      </x:c>
      <x:c r="AH24" s="90" t="s">
        <x:v>1</x:v>
      </x:c>
      <x:c r="AI24" s="90" t="s">
        <x:v>1</x:v>
      </x:c>
      <x:c r="AJ24" s="90" t="s">
        <x:v>1</x:v>
      </x:c>
    </x:row>
    <x:row r="25">
      <x:c r="A25" s="7" t="s">
        <x:v>1</x:v>
      </x:c>
      <x:c r="B25" s="7" t="s">
        <x:v>1</x:v>
      </x:c>
      <x:c r="C25" s="28" t="s">
        <x:v>1</x:v>
      </x:c>
      <x:c r="D25" s="28" t="s">
        <x:v>1</x:v>
      </x:c>
      <x:c r="E25" s="28" t="s">
        <x:v>1</x:v>
      </x:c>
      <x:c r="F25" s="28" t="s">
        <x:v>1</x:v>
      </x:c>
      <x:c r="G25" s="7" t="s">
        <x:v>63</x:v>
      </x:c>
      <x:c r="H25" s="19" t="e">
        <x:f>=(C24)*(维护参数!$B$10)</x:f>
        <x:v>#NAME?</x:v>
      </x:c>
      <x:c r="I25" s="30" t="s">
        <x:v>1</x:v>
      </x:c>
      <x:c r="J25" s="7" t="s">
        <x:v>64</x:v>
      </x:c>
      <x:c r="K25" s="24" t="e">
        <x:f>=(MAX(维护参数!$B$5,ROUNDUP(I24/10000,0)))*(维护参数!$B$3)</x:f>
        <x:v>#NAME?</x:v>
      </x:c>
      <x:c r="L25" s="30" t="s">
        <x:v>1</x:v>
      </x:c>
      <x:c r="M25" s="30" t="s">
        <x:v>1</x:v>
      </x:c>
      <x:c r="N25" s="30" t="s">
        <x:v>1</x:v>
      </x:c>
      <x:c r="O25" s="30" t="s">
        <x:v>1</x:v>
      </x:c>
      <x:c r="P25" s="31" t="s">
        <x:v>1</x:v>
      </x:c>
      <x:c r="Q25" s="24" t="e">
        <x:f>=SUM(K25,P24)</x:f>
        <x:v>#NAME?</x:v>
      </x:c>
      <x:c r="R25" s="32" t="e">
        <x:f>=Q25/H25</x:f>
        <x:v>#NAME?</x:v>
      </x:c>
      <x:c r="S25" s="24" t="e">
        <x:f>=H25-Q25</x:f>
        <x:v>#NAME?</x:v>
      </x:c>
      <x:c r="T25" s="32" t="e">
        <x:f>=S25/(C24)</x:f>
        <x:v>#NAME?</x:v>
      </x:c>
      <x:c r="U25" s="24" t="e">
        <x:f>=S25*维护参数!$B$20</x:f>
        <x:v>#NAME?</x:v>
      </x:c>
      <x:c r="V25" s="32" t="e">
        <x:f>=U25/(C24)</x:f>
        <x:v>#NAME?</x:v>
      </x:c>
      <x:c r="W25" s="7" t="s">
        <x:v>1</x:v>
      </x:c>
      <x:c r="X25" s="7" t="s">
        <x:v>1</x:v>
      </x:c>
      <x:c r="Z25" s="90" t="s">
        <x:v>1</x:v>
      </x:c>
      <x:c r="AA25" s="90" t="s">
        <x:v>1</x:v>
      </x:c>
      <x:c r="AB25" s="92" t="s">
        <x:v>1</x:v>
      </x:c>
      <x:c r="AC25" s="92" t="s">
        <x:v>1</x:v>
      </x:c>
      <x:c r="AD25" s="92" t="s">
        <x:v>1</x:v>
      </x:c>
      <x:c r="AE25" s="92" t="s">
        <x:v>1</x:v>
      </x:c>
      <x:c r="AF25" s="90" t="s">
        <x:v>1</x:v>
      </x:c>
      <x:c r="AG25" s="92" t="s">
        <x:v>1</x:v>
      </x:c>
      <x:c r="AH25" s="92" t="s">
        <x:v>1</x:v>
      </x:c>
      <x:c r="AI25" s="90" t="s">
        <x:v>1</x:v>
      </x:c>
      <x:c r="AJ25" s="90" t="s">
        <x:v>1</x:v>
      </x:c>
    </x:row>
    <x:row r="26">
      <x:c r="A26" s="7" t="s">
        <x:v>74</x:v>
      </x:c>
      <x:c r="B26" s="7" t="s">
        <x:v>75</x:v>
      </x:c>
      <x:c r="C26" s="19">
        <x:v>8750</x:v>
      </x:c>
      <x:c r="D26" s="19" t="n">
        <x:f>=C26*0.6</x:f>
        <x:v>5250</x:v>
      </x:c>
      <x:c r="E26" s="36">
        <x:v>10000</x:v>
      </x:c>
      <x:c r="F26" s="36" t="n">
        <x:f>=E26*0.6</x:f>
        <x:v>6000</x:v>
      </x:c>
      <x:c r="G26" s="7" t="s">
        <x:v>59</x:v>
      </x:c>
      <x:c r="H26" s="19" t="n">
        <x:f>=(D26)*(1)</x:f>
        <x:v>5250</x:v>
      </x:c>
      <x:c r="I26" s="21" t="e">
        <x:f>=ROUNDUP(C26*维护参数!$B$11/维护参数!$B$12*1000,0)</x:f>
        <x:v>#NAME?</x:v>
      </x:c>
      <x:c r="J26" s="7" t="s">
        <x:v>60</x:v>
      </x:c>
      <x:c r="K26" s="24" t="e">
        <x:f>=(MAX(维护参数!$B$4,ROUNDUP(I26/10000,0)))*(维护参数!$B$2)</x:f>
        <x:v>#NAME?</x:v>
      </x:c>
      <x:c r="L26" s="23" t="e">
        <x:f>=ROUNDUP(C26*维护参数!$B$16/维护参数!$B$15/1000,0)*1000</x:f>
        <x:v>#NAME?</x:v>
      </x:c>
      <x:c r="M26" s="23" t="e">
        <x:f>=ROUNDUP(C26*维护参数!$B$17/维护参数!$B$15/10,0)*10</x:f>
        <x:v>#NAME?</x:v>
      </x:c>
      <x:c r="N26" s="23" t="e">
        <x:f>=ROUNDUP(C26*维护参数!$B$18/维护参数!$B$15/10,0)*10</x:f>
        <x:v>#NAME?</x:v>
      </x:c>
      <x:c r="O26" s="23" t="e">
        <x:f>=ROUNDUP(C26*维护参数!$B$19/维护参数!$B$15/10,0)*10</x:f>
        <x:v>#NAME?</x:v>
      </x:c>
      <x:c r="P26" s="24" t="e">
        <x:f>=L26/1000*维护参数!$B$6+M26*维护参数!$B$7+N26*维护参数!$B$8+O26*维护参数!$B$9</x:f>
        <x:v>#NAME?</x:v>
      </x:c>
      <x:c r="Q26" s="24" t="e">
        <x:f>=SUM(K26,P26)</x:f>
        <x:v>#NAME?</x:v>
      </x:c>
      <x:c r="R26" s="32" t="e">
        <x:f>=Q26/H26</x:f>
        <x:v>#NAME?</x:v>
      </x:c>
      <x:c r="S26" s="24" t="e">
        <x:f>=H26-Q26</x:f>
        <x:v>#NAME?</x:v>
      </x:c>
      <x:c r="T26" s="32" t="e">
        <x:f>=S26/(C26)</x:f>
        <x:v>#NAME?</x:v>
      </x:c>
      <x:c r="U26" s="24" t="e">
        <x:f>=S26*维护参数!$B$20</x:f>
        <x:v>#NAME?</x:v>
      </x:c>
      <x:c r="V26" s="32" t="e">
        <x:f>=U26/(C26)</x:f>
        <x:v>#NAME?</x:v>
      </x:c>
      <x:c r="W26" s="7" t="s">
        <x:v>76</x:v>
      </x:c>
      <x:c r="X26" s="7" t="s">
        <x:v>77</x:v>
      </x:c>
      <x:c r="Z26" s="90" t="s">
        <x:v>1</x:v>
      </x:c>
      <x:c r="AA26" s="90" t="s">
        <x:v>1</x:v>
      </x:c>
      <x:c r="AB26" s="92" t="s">
        <x:v>1</x:v>
      </x:c>
      <x:c r="AC26" s="92" t="s">
        <x:v>1</x:v>
      </x:c>
      <x:c r="AD26" s="92" t="s">
        <x:v>1</x:v>
      </x:c>
      <x:c r="AE26" s="92" t="s">
        <x:v>1</x:v>
      </x:c>
      <x:c r="AF26" s="90" t="s">
        <x:v>1</x:v>
      </x:c>
      <x:c r="AG26" s="92" t="s">
        <x:v>1</x:v>
      </x:c>
      <x:c r="AH26" s="90" t="s">
        <x:v>1</x:v>
      </x:c>
      <x:c r="AI26" s="90" t="s">
        <x:v>1</x:v>
      </x:c>
      <x:c r="AJ26" s="90" t="s">
        <x:v>1</x:v>
      </x:c>
    </x:row>
    <x:row r="27">
      <x:c r="A27" s="7" t="s">
        <x:v>1</x:v>
      </x:c>
      <x:c r="B27" s="7" t="s">
        <x:v>1</x:v>
      </x:c>
      <x:c r="C27" s="28" t="s">
        <x:v>1</x:v>
      </x:c>
      <x:c r="D27" s="28" t="s">
        <x:v>1</x:v>
      </x:c>
      <x:c r="E27" s="28" t="s">
        <x:v>1</x:v>
      </x:c>
      <x:c r="F27" s="28" t="s">
        <x:v>1</x:v>
      </x:c>
      <x:c r="G27" s="7" t="s">
        <x:v>63</x:v>
      </x:c>
      <x:c r="H27" s="19" t="e">
        <x:f>=(C26)*(维护参数!$B$10)</x:f>
        <x:v>#NAME?</x:v>
      </x:c>
      <x:c r="I27" s="30" t="s">
        <x:v>1</x:v>
      </x:c>
      <x:c r="J27" s="7" t="s">
        <x:v>64</x:v>
      </x:c>
      <x:c r="K27" s="24" t="e">
        <x:f>=(MAX(维护参数!$B$5,ROUNDUP(I26/10000,0)))*(维护参数!$B$3)</x:f>
        <x:v>#NAME?</x:v>
      </x:c>
      <x:c r="L27" s="30" t="s">
        <x:v>1</x:v>
      </x:c>
      <x:c r="M27" s="30" t="s">
        <x:v>1</x:v>
      </x:c>
      <x:c r="N27" s="30" t="s">
        <x:v>1</x:v>
      </x:c>
      <x:c r="O27" s="30" t="s">
        <x:v>1</x:v>
      </x:c>
      <x:c r="P27" s="31" t="s">
        <x:v>1</x:v>
      </x:c>
      <x:c r="Q27" s="24" t="e">
        <x:f>=SUM(K27,P26)</x:f>
        <x:v>#NAME?</x:v>
      </x:c>
      <x:c r="R27" s="32" t="e">
        <x:f>=Q27/H27</x:f>
        <x:v>#NAME?</x:v>
      </x:c>
      <x:c r="S27" s="24" t="e">
        <x:f>=H27-Q27</x:f>
        <x:v>#NAME?</x:v>
      </x:c>
      <x:c r="T27" s="32" t="e">
        <x:f>=S27/(C26)</x:f>
        <x:v>#NAME?</x:v>
      </x:c>
      <x:c r="U27" s="24" t="e">
        <x:f>=S27*维护参数!$B$20</x:f>
        <x:v>#NAME?</x:v>
      </x:c>
      <x:c r="V27" s="32" t="e">
        <x:f>=U27/(C26)</x:f>
        <x:v>#NAME?</x:v>
      </x:c>
      <x:c r="W27" s="7" t="s">
        <x:v>1</x:v>
      </x:c>
      <x:c r="X27" s="7" t="s">
        <x:v>1</x:v>
      </x:c>
      <x:c r="Z27" s="90" t="s">
        <x:v>1</x:v>
      </x:c>
      <x:c r="AA27" s="90" t="s">
        <x:v>1</x:v>
      </x:c>
      <x:c r="AB27" s="92" t="s">
        <x:v>1</x:v>
      </x:c>
      <x:c r="AC27" s="92" t="s">
        <x:v>1</x:v>
      </x:c>
      <x:c r="AD27" s="92" t="s">
        <x:v>1</x:v>
      </x:c>
      <x:c r="AE27" s="92" t="s">
        <x:v>1</x:v>
      </x:c>
      <x:c r="AF27" s="90" t="s">
        <x:v>1</x:v>
      </x:c>
      <x:c r="AG27" s="92" t="s">
        <x:v>1</x:v>
      </x:c>
      <x:c r="AH27" s="92" t="s">
        <x:v>1</x:v>
      </x:c>
      <x:c r="AI27" s="90" t="s">
        <x:v>1</x:v>
      </x:c>
      <x:c r="AJ27" s="90" t="s">
        <x:v>1</x:v>
      </x:c>
    </x:row>
    <x:row r="28">
      <x:c r="A28" s="7" t="s">
        <x:v>78</x:v>
      </x:c>
      <x:c r="B28" s="7" t="s">
        <x:v>75</x:v>
      </x:c>
      <x:c r="C28" s="19">
        <x:v>6000</x:v>
      </x:c>
      <x:c r="D28" s="19" t="n">
        <x:f>=C28*0.6</x:f>
        <x:v>3600</x:v>
      </x:c>
      <x:c r="E28" s="36">
        <x:v>8000</x:v>
      </x:c>
      <x:c r="F28" s="36" t="n">
        <x:f>=E28*0.6</x:f>
        <x:v>4800</x:v>
      </x:c>
      <x:c r="G28" s="7" t="s">
        <x:v>59</x:v>
      </x:c>
      <x:c r="H28" s="19" t="n">
        <x:f>=(D28)*(1)</x:f>
        <x:v>3600</x:v>
      </x:c>
      <x:c r="I28" s="21" t="e">
        <x:f>=ROUNDUP(C28*维护参数!$B$11/维护参数!$B$12*1000,0)</x:f>
        <x:v>#NAME?</x:v>
      </x:c>
      <x:c r="J28" s="7" t="s">
        <x:v>60</x:v>
      </x:c>
      <x:c r="K28" s="24" t="e">
        <x:f>=(MAX(维护参数!$B$4,ROUNDUP(I28/10000,0)))*(维护参数!$B$2)</x:f>
        <x:v>#NAME?</x:v>
      </x:c>
      <x:c r="L28" s="23" t="e">
        <x:f>=ROUNDUP(C28*维护参数!$B$16/维护参数!$B$15/1000,0)*1000</x:f>
        <x:v>#NAME?</x:v>
      </x:c>
      <x:c r="M28" s="23" t="e">
        <x:f>=ROUNDUP(C28*维护参数!$B$17/维护参数!$B$15/10,0)*10</x:f>
        <x:v>#NAME?</x:v>
      </x:c>
      <x:c r="N28" s="23" t="e">
        <x:f>=ROUNDUP(C28*维护参数!$B$18/维护参数!$B$15/10,0)*10</x:f>
        <x:v>#NAME?</x:v>
      </x:c>
      <x:c r="O28" s="23" t="e">
        <x:f>=ROUNDUP(C28*维护参数!$B$19/维护参数!$B$15/10,0)*10</x:f>
        <x:v>#NAME?</x:v>
      </x:c>
      <x:c r="P28" s="24" t="e">
        <x:f>=L28/1000*维护参数!$B$6+M28*维护参数!$B$7+N28*维护参数!$B$8+O28*维护参数!$B$9</x:f>
        <x:v>#NAME?</x:v>
      </x:c>
      <x:c r="Q28" s="24" t="e">
        <x:f>=SUM(K28,P28)</x:f>
        <x:v>#NAME?</x:v>
      </x:c>
      <x:c r="R28" s="32" t="e">
        <x:f>=Q28/H28</x:f>
        <x:v>#NAME?</x:v>
      </x:c>
      <x:c r="S28" s="24" t="e">
        <x:f>=H28-Q28</x:f>
        <x:v>#NAME?</x:v>
      </x:c>
      <x:c r="T28" s="32" t="e">
        <x:f>=S28/(C28)</x:f>
        <x:v>#NAME?</x:v>
      </x:c>
      <x:c r="U28" s="24" t="e">
        <x:f>=S28*维护参数!$B$20</x:f>
        <x:v>#NAME?</x:v>
      </x:c>
      <x:c r="V28" s="32" t="e">
        <x:f>=U28/(C28)</x:f>
        <x:v>#NAME?</x:v>
      </x:c>
      <x:c r="W28" s="7" t="s">
        <x:v>1</x:v>
      </x:c>
      <x:c r="X28" s="7" t="s">
        <x:v>79</x:v>
      </x:c>
      <x:c r="Z28" s="90" t="s">
        <x:v>1</x:v>
      </x:c>
      <x:c r="AA28" s="90" t="s">
        <x:v>1</x:v>
      </x:c>
      <x:c r="AB28" s="92" t="s">
        <x:v>1</x:v>
      </x:c>
      <x:c r="AC28" s="92" t="s">
        <x:v>1</x:v>
      </x:c>
      <x:c r="AD28" s="92" t="s">
        <x:v>1</x:v>
      </x:c>
      <x:c r="AE28" s="92" t="s">
        <x:v>1</x:v>
      </x:c>
      <x:c r="AF28" s="90" t="s">
        <x:v>1</x:v>
      </x:c>
      <x:c r="AG28" s="92" t="s">
        <x:v>1</x:v>
      </x:c>
      <x:c r="AH28" s="90" t="s">
        <x:v>1</x:v>
      </x:c>
      <x:c r="AI28" s="90" t="s">
        <x:v>1</x:v>
      </x:c>
      <x:c r="AJ28" s="90" t="s">
        <x:v>1</x:v>
      </x:c>
    </x:row>
    <x:row r="29">
      <x:c r="A29" s="7" t="s">
        <x:v>1</x:v>
      </x:c>
      <x:c r="B29" s="7" t="s">
        <x:v>1</x:v>
      </x:c>
      <x:c r="C29" s="28" t="s">
        <x:v>1</x:v>
      </x:c>
      <x:c r="D29" s="28" t="s">
        <x:v>1</x:v>
      </x:c>
      <x:c r="E29" s="28" t="s">
        <x:v>1</x:v>
      </x:c>
      <x:c r="F29" s="28" t="s">
        <x:v>1</x:v>
      </x:c>
      <x:c r="G29" s="7" t="s">
        <x:v>63</x:v>
      </x:c>
      <x:c r="H29" s="19" t="e">
        <x:f>=(C28)*(维护参数!$B$10)</x:f>
        <x:v>#NAME?</x:v>
      </x:c>
      <x:c r="I29" s="30" t="s">
        <x:v>1</x:v>
      </x:c>
      <x:c r="J29" s="7" t="s">
        <x:v>64</x:v>
      </x:c>
      <x:c r="K29" s="24" t="e">
        <x:f>=(MAX(维护参数!$B$5,ROUNDUP(I28/10000,0)))*(维护参数!$B$3)</x:f>
        <x:v>#NAME?</x:v>
      </x:c>
      <x:c r="L29" s="30" t="s">
        <x:v>1</x:v>
      </x:c>
      <x:c r="M29" s="30" t="s">
        <x:v>1</x:v>
      </x:c>
      <x:c r="N29" s="30" t="s">
        <x:v>1</x:v>
      </x:c>
      <x:c r="O29" s="30" t="s">
        <x:v>1</x:v>
      </x:c>
      <x:c r="P29" s="31" t="s">
        <x:v>1</x:v>
      </x:c>
      <x:c r="Q29" s="24" t="e">
        <x:f>=SUM(K29,P28)</x:f>
        <x:v>#NAME?</x:v>
      </x:c>
      <x:c r="R29" s="32" t="e">
        <x:f>=Q29/H29</x:f>
        <x:v>#NAME?</x:v>
      </x:c>
      <x:c r="S29" s="24" t="e">
        <x:f>=H29-Q29</x:f>
        <x:v>#NAME?</x:v>
      </x:c>
      <x:c r="T29" s="32" t="e">
        <x:f>=S29/(C28)</x:f>
        <x:v>#NAME?</x:v>
      </x:c>
      <x:c r="U29" s="24" t="e">
        <x:f>=S29*维护参数!$B$20</x:f>
        <x:v>#NAME?</x:v>
      </x:c>
      <x:c r="V29" s="32" t="e">
        <x:f>=U29/(C28)</x:f>
        <x:v>#NAME?</x:v>
      </x:c>
      <x:c r="W29" s="7" t="s">
        <x:v>1</x:v>
      </x:c>
      <x:c r="X29" s="7" t="s">
        <x:v>1</x:v>
      </x:c>
      <x:c r="Z29" s="90" t="s">
        <x:v>1</x:v>
      </x:c>
      <x:c r="AA29" s="90" t="s">
        <x:v>1</x:v>
      </x:c>
      <x:c r="AB29" s="92" t="s">
        <x:v>1</x:v>
      </x:c>
      <x:c r="AC29" s="92" t="s">
        <x:v>1</x:v>
      </x:c>
      <x:c r="AD29" s="92" t="s">
        <x:v>1</x:v>
      </x:c>
      <x:c r="AE29" s="92" t="s">
        <x:v>1</x:v>
      </x:c>
      <x:c r="AF29" s="90" t="s">
        <x:v>1</x:v>
      </x:c>
      <x:c r="AG29" s="92" t="s">
        <x:v>1</x:v>
      </x:c>
      <x:c r="AH29" s="92" t="s">
        <x:v>1</x:v>
      </x:c>
      <x:c r="AI29" s="90" t="s">
        <x:v>1</x:v>
      </x:c>
      <x:c r="AJ29" s="90" t="s">
        <x:v>1</x:v>
      </x:c>
    </x:row>
    <x:row r="30">
      <x:c r="A30" s="7" t="s">
        <x:v>80</x:v>
      </x:c>
      <x:c r="B30" s="7" t="s">
        <x:v>81</x:v>
      </x:c>
      <x:c r="C30" s="19">
        <x:v>6000</x:v>
      </x:c>
      <x:c r="D30" s="19" t="n">
        <x:f>=C30*0.6</x:f>
        <x:v>3600</x:v>
      </x:c>
      <x:c r="E30" s="20" t="s">
        <x:v>58</x:v>
      </x:c>
      <x:c r="F30" s="20" t="s">
        <x:v>58</x:v>
      </x:c>
      <x:c r="G30" s="7" t="s">
        <x:v>59</x:v>
      </x:c>
      <x:c r="H30" s="19" t="n">
        <x:f>=(D30)*(1)</x:f>
        <x:v>3600</x:v>
      </x:c>
      <x:c r="I30" s="21" t="e">
        <x:f>=ROUNDUP(C30*维护参数!$B$11/维护参数!$B$12*1000,0)</x:f>
        <x:v>#NAME?</x:v>
      </x:c>
      <x:c r="J30" s="7" t="s">
        <x:v>60</x:v>
      </x:c>
      <x:c r="K30" s="24" t="e">
        <x:f>=(MAX(维护参数!$B$4,ROUNDUP(I30/10000,0)))*(维护参数!$B$2)</x:f>
        <x:v>#NAME?</x:v>
      </x:c>
      <x:c r="L30" s="23" t="e">
        <x:f>=ROUNDUP(C30*维护参数!$B$16/维护参数!$B$15/1000,0)*1000</x:f>
        <x:v>#NAME?</x:v>
      </x:c>
      <x:c r="M30" s="23" t="e">
        <x:f>=ROUNDUP(C30*维护参数!$B$17/维护参数!$B$15/10,0)*10</x:f>
        <x:v>#NAME?</x:v>
      </x:c>
      <x:c r="N30" s="23" t="e">
        <x:f>=ROUNDUP(C30*维护参数!$B$18/维护参数!$B$15/10,0)*10</x:f>
        <x:v>#NAME?</x:v>
      </x:c>
      <x:c r="O30" s="23" t="e">
        <x:f>=ROUNDUP(C30*维护参数!$B$19/维护参数!$B$15/10,0)*10</x:f>
        <x:v>#NAME?</x:v>
      </x:c>
      <x:c r="P30" s="24" t="e">
        <x:f>=L30/1000*维护参数!$B$6+M30*维护参数!$B$7+N30*维护参数!$B$8+O30*维护参数!$B$9</x:f>
        <x:v>#NAME?</x:v>
      </x:c>
      <x:c r="Q30" s="24" t="e">
        <x:f>=SUM(K30,P30)</x:f>
        <x:v>#NAME?</x:v>
      </x:c>
      <x:c r="R30" s="32" t="e">
        <x:f>=Q30/H30</x:f>
        <x:v>#NAME?</x:v>
      </x:c>
      <x:c r="S30" s="24" t="e">
        <x:f>=H30-Q30</x:f>
        <x:v>#NAME?</x:v>
      </x:c>
      <x:c r="T30" s="32" t="e">
        <x:f>=S30/(C30)</x:f>
        <x:v>#NAME?</x:v>
      </x:c>
      <x:c r="U30" s="24" t="e">
        <x:f>=S30*维护参数!$B$20</x:f>
        <x:v>#NAME?</x:v>
      </x:c>
      <x:c r="V30" s="32" t="e">
        <x:f>=U30/(C30)</x:f>
        <x:v>#NAME?</x:v>
      </x:c>
      <x:c r="W30" s="7" t="s">
        <x:v>82</x:v>
      </x:c>
      <x:c r="X30" s="7" t="s">
        <x:v>83</x:v>
      </x:c>
      <x:c r="Z30" s="90" t="s">
        <x:v>1</x:v>
      </x:c>
      <x:c r="AA30" s="90" t="s">
        <x:v>1</x:v>
      </x:c>
      <x:c r="AB30" s="92" t="s">
        <x:v>1</x:v>
      </x:c>
      <x:c r="AC30" s="92" t="s">
        <x:v>1</x:v>
      </x:c>
      <x:c r="AD30" s="92" t="s">
        <x:v>1</x:v>
      </x:c>
      <x:c r="AE30" s="92" t="s">
        <x:v>1</x:v>
      </x:c>
      <x:c r="AF30" s="90" t="s">
        <x:v>1</x:v>
      </x:c>
      <x:c r="AG30" s="92" t="s">
        <x:v>1</x:v>
      </x:c>
      <x:c r="AH30" s="90" t="s">
        <x:v>1</x:v>
      </x:c>
      <x:c r="AI30" s="90" t="s">
        <x:v>1</x:v>
      </x:c>
      <x:c r="AJ30" s="90" t="s">
        <x:v>1</x:v>
      </x:c>
    </x:row>
    <x:row r="31">
      <x:c r="A31" s="7" t="s">
        <x:v>1</x:v>
      </x:c>
      <x:c r="B31" s="7" t="s">
        <x:v>1</x:v>
      </x:c>
      <x:c r="C31" s="28" t="s">
        <x:v>1</x:v>
      </x:c>
      <x:c r="D31" s="28" t="s">
        <x:v>1</x:v>
      </x:c>
      <x:c r="E31" s="28" t="s">
        <x:v>1</x:v>
      </x:c>
      <x:c r="F31" s="28" t="s">
        <x:v>1</x:v>
      </x:c>
      <x:c r="G31" s="7" t="s">
        <x:v>63</x:v>
      </x:c>
      <x:c r="H31" s="19" t="e">
        <x:f>=(C30)*(维护参数!$B$10)</x:f>
        <x:v>#NAME?</x:v>
      </x:c>
      <x:c r="I31" s="30" t="s">
        <x:v>1</x:v>
      </x:c>
      <x:c r="J31" s="7" t="s">
        <x:v>64</x:v>
      </x:c>
      <x:c r="K31" s="24" t="e">
        <x:f>=(MAX(维护参数!$B$5,ROUNDUP(I30/10000,0)))*(维护参数!$B$3)</x:f>
        <x:v>#NAME?</x:v>
      </x:c>
      <x:c r="L31" s="30" t="s">
        <x:v>1</x:v>
      </x:c>
      <x:c r="M31" s="30" t="s">
        <x:v>1</x:v>
      </x:c>
      <x:c r="N31" s="30" t="s">
        <x:v>1</x:v>
      </x:c>
      <x:c r="O31" s="30" t="s">
        <x:v>1</x:v>
      </x:c>
      <x:c r="P31" s="31" t="s">
        <x:v>1</x:v>
      </x:c>
      <x:c r="Q31" s="24" t="e">
        <x:f>=SUM(K31,P30)</x:f>
        <x:v>#NAME?</x:v>
      </x:c>
      <x:c r="R31" s="32" t="e">
        <x:f>=Q31/H31</x:f>
        <x:v>#NAME?</x:v>
      </x:c>
      <x:c r="S31" s="24" t="e">
        <x:f>=H31-Q31</x:f>
        <x:v>#NAME?</x:v>
      </x:c>
      <x:c r="T31" s="32" t="e">
        <x:f>=S31/(C30)</x:f>
        <x:v>#NAME?</x:v>
      </x:c>
      <x:c r="U31" s="24" t="e">
        <x:f>=S31*维护参数!$B$20</x:f>
        <x:v>#NAME?</x:v>
      </x:c>
      <x:c r="V31" s="32" t="e">
        <x:f>=U31/(C30)</x:f>
        <x:v>#NAME?</x:v>
      </x:c>
      <x:c r="W31" s="7" t="s">
        <x:v>1</x:v>
      </x:c>
      <x:c r="X31" s="7" t="s">
        <x:v>1</x:v>
      </x:c>
      <x:c r="Z31" s="90" t="s">
        <x:v>1</x:v>
      </x:c>
      <x:c r="AA31" s="90" t="s">
        <x:v>1</x:v>
      </x:c>
      <x:c r="AB31" s="92" t="s">
        <x:v>1</x:v>
      </x:c>
      <x:c r="AC31" s="92" t="s">
        <x:v>1</x:v>
      </x:c>
      <x:c r="AD31" s="92" t="s">
        <x:v>1</x:v>
      </x:c>
      <x:c r="AE31" s="92" t="s">
        <x:v>1</x:v>
      </x:c>
      <x:c r="AF31" s="90" t="s">
        <x:v>1</x:v>
      </x:c>
      <x:c r="AG31" s="92" t="s">
        <x:v>1</x:v>
      </x:c>
      <x:c r="AH31" s="92" t="s">
        <x:v>1</x:v>
      </x:c>
      <x:c r="AI31" s="90" t="s">
        <x:v>1</x:v>
      </x:c>
      <x:c r="AJ31" s="90" t="s">
        <x:v>1</x:v>
      </x:c>
    </x:row>
    <x:row r="32">
      <x:c r="A32" s="7" t="s">
        <x:v>84</x:v>
      </x:c>
      <x:c r="B32" s="7" t="s">
        <x:v>85</x:v>
      </x:c>
      <x:c r="C32" s="19">
        <x:v>6000</x:v>
      </x:c>
      <x:c r="D32" s="19" t="n">
        <x:f>=C32*0.6</x:f>
        <x:v>3600</x:v>
      </x:c>
      <x:c r="E32" s="36">
        <x:v>8000</x:v>
      </x:c>
      <x:c r="F32" s="36" t="n">
        <x:f>=E32*0.6</x:f>
        <x:v>4800</x:v>
      </x:c>
      <x:c r="G32" s="7" t="s">
        <x:v>59</x:v>
      </x:c>
      <x:c r="H32" s="19" t="n">
        <x:f>=(D32)*(1)</x:f>
        <x:v>3600</x:v>
      </x:c>
      <x:c r="I32" s="21" t="e">
        <x:f>=ROUNDUP(C32*维护参数!$B$11/维护参数!$B$12*1000,0)</x:f>
        <x:v>#NAME?</x:v>
      </x:c>
      <x:c r="J32" s="7" t="s">
        <x:v>60</x:v>
      </x:c>
      <x:c r="K32" s="24" t="e">
        <x:f>=(MAX(维护参数!$B$4,ROUNDUP(I32/10000,0)))*(维护参数!$B$2)</x:f>
        <x:v>#NAME?</x:v>
      </x:c>
      <x:c r="L32" s="23" t="e">
        <x:f>=ROUNDUP(C32*维护参数!$B$16/维护参数!$B$15/1000,0)*1000</x:f>
        <x:v>#NAME?</x:v>
      </x:c>
      <x:c r="M32" s="23" t="e">
        <x:f>=ROUNDUP(C32*维护参数!$B$17/维护参数!$B$15/10,0)*10</x:f>
        <x:v>#NAME?</x:v>
      </x:c>
      <x:c r="N32" s="23" t="e">
        <x:f>=ROUNDUP(C32*维护参数!$B$18/维护参数!$B$15/10,0)*10</x:f>
        <x:v>#NAME?</x:v>
      </x:c>
      <x:c r="O32" s="23" t="e">
        <x:f>=ROUNDUP(C32*维护参数!$B$19/维护参数!$B$15/10,0)*10</x:f>
        <x:v>#NAME?</x:v>
      </x:c>
      <x:c r="P32" s="24" t="e">
        <x:f>=L32/1000*维护参数!$B$6+M32*维护参数!$B$7+N32*维护参数!$B$8+O32*维护参数!$B$9</x:f>
        <x:v>#NAME?</x:v>
      </x:c>
      <x:c r="Q32" s="24" t="e">
        <x:f>=SUM(K32,P32)</x:f>
        <x:v>#NAME?</x:v>
      </x:c>
      <x:c r="R32" s="32" t="e">
        <x:f>=Q32/H32</x:f>
        <x:v>#NAME?</x:v>
      </x:c>
      <x:c r="S32" s="24" t="e">
        <x:f>=H32-Q32</x:f>
        <x:v>#NAME?</x:v>
      </x:c>
      <x:c r="T32" s="32" t="e">
        <x:f>=S32/(C32)</x:f>
        <x:v>#NAME?</x:v>
      </x:c>
      <x:c r="U32" s="24" t="e">
        <x:f>=S32*维护参数!$B$20</x:f>
        <x:v>#NAME?</x:v>
      </x:c>
      <x:c r="V32" s="32" t="e">
        <x:f>=U32/(C32)</x:f>
        <x:v>#NAME?</x:v>
      </x:c>
      <x:c r="W32" s="7" t="s">
        <x:v>86</x:v>
      </x:c>
      <x:c r="X32" s="7" t="s">
        <x:v>87</x:v>
      </x:c>
      <x:c r="Z32" s="90" t="s">
        <x:v>1</x:v>
      </x:c>
      <x:c r="AA32" s="90" t="s">
        <x:v>1</x:v>
      </x:c>
      <x:c r="AB32" s="92" t="s">
        <x:v>1</x:v>
      </x:c>
      <x:c r="AC32" s="92" t="s">
        <x:v>1</x:v>
      </x:c>
      <x:c r="AD32" s="92" t="s">
        <x:v>1</x:v>
      </x:c>
      <x:c r="AE32" s="92" t="s">
        <x:v>1</x:v>
      </x:c>
      <x:c r="AF32" s="90" t="s">
        <x:v>1</x:v>
      </x:c>
      <x:c r="AG32" s="92" t="s">
        <x:v>1</x:v>
      </x:c>
      <x:c r="AH32" s="90" t="s">
        <x:v>1</x:v>
      </x:c>
      <x:c r="AI32" s="90" t="s">
        <x:v>1</x:v>
      </x:c>
      <x:c r="AJ32" s="90" t="s">
        <x:v>1</x:v>
      </x:c>
    </x:row>
    <x:row r="33">
      <x:c r="A33" s="7" t="s">
        <x:v>1</x:v>
      </x:c>
      <x:c r="B33" s="7" t="s">
        <x:v>1</x:v>
      </x:c>
      <x:c r="C33" s="28" t="s">
        <x:v>1</x:v>
      </x:c>
      <x:c r="D33" s="28" t="s">
        <x:v>1</x:v>
      </x:c>
      <x:c r="E33" s="28" t="s">
        <x:v>1</x:v>
      </x:c>
      <x:c r="F33" s="28" t="s">
        <x:v>1</x:v>
      </x:c>
      <x:c r="G33" s="7" t="s">
        <x:v>63</x:v>
      </x:c>
      <x:c r="H33" s="19" t="e">
        <x:f>=(C32)*(维护参数!$B$10)</x:f>
        <x:v>#NAME?</x:v>
      </x:c>
      <x:c r="I33" s="30" t="s">
        <x:v>1</x:v>
      </x:c>
      <x:c r="J33" s="7" t="s">
        <x:v>64</x:v>
      </x:c>
      <x:c r="K33" s="24" t="e">
        <x:f>=(MAX(维护参数!$B$5,ROUNDUP(I32/10000,0)))*(维护参数!$B$3)</x:f>
        <x:v>#NAME?</x:v>
      </x:c>
      <x:c r="L33" s="30" t="s">
        <x:v>1</x:v>
      </x:c>
      <x:c r="M33" s="30" t="s">
        <x:v>1</x:v>
      </x:c>
      <x:c r="N33" s="30" t="s">
        <x:v>1</x:v>
      </x:c>
      <x:c r="O33" s="30" t="s">
        <x:v>1</x:v>
      </x:c>
      <x:c r="P33" s="31" t="s">
        <x:v>1</x:v>
      </x:c>
      <x:c r="Q33" s="24" t="e">
        <x:f>=SUM(K33,P32)</x:f>
        <x:v>#NAME?</x:v>
      </x:c>
      <x:c r="R33" s="32" t="e">
        <x:f>=Q33/H33</x:f>
        <x:v>#NAME?</x:v>
      </x:c>
      <x:c r="S33" s="24" t="e">
        <x:f>=H33-Q33</x:f>
        <x:v>#NAME?</x:v>
      </x:c>
      <x:c r="T33" s="32" t="e">
        <x:f>=S33/(C32)</x:f>
        <x:v>#NAME?</x:v>
      </x:c>
      <x:c r="U33" s="24" t="e">
        <x:f>=S33*维护参数!$B$20</x:f>
        <x:v>#NAME?</x:v>
      </x:c>
      <x:c r="V33" s="32" t="e">
        <x:f>=U33/(C32)</x:f>
        <x:v>#NAME?</x:v>
      </x:c>
      <x:c r="W33" s="7" t="s">
        <x:v>1</x:v>
      </x:c>
      <x:c r="X33" s="7" t="s">
        <x:v>1</x:v>
      </x:c>
      <x:c r="Z33" s="90" t="s">
        <x:v>1</x:v>
      </x:c>
      <x:c r="AA33" s="90" t="s">
        <x:v>1</x:v>
      </x:c>
      <x:c r="AB33" s="92" t="s">
        <x:v>1</x:v>
      </x:c>
      <x:c r="AC33" s="92" t="s">
        <x:v>1</x:v>
      </x:c>
      <x:c r="AD33" s="92" t="s">
        <x:v>1</x:v>
      </x:c>
      <x:c r="AE33" s="92" t="s">
        <x:v>1</x:v>
      </x:c>
      <x:c r="AF33" s="90" t="s">
        <x:v>1</x:v>
      </x:c>
      <x:c r="AG33" s="92" t="s">
        <x:v>1</x:v>
      </x:c>
      <x:c r="AH33" s="92" t="s">
        <x:v>1</x:v>
      </x:c>
      <x:c r="AI33" s="90" t="s">
        <x:v>1</x:v>
      </x:c>
      <x:c r="AJ33" s="90" t="s">
        <x:v>1</x:v>
      </x:c>
    </x:row>
    <x:row r="34">
      <x:c r="A34" s="7" t="s">
        <x:v>88</x:v>
      </x:c>
      <x:c r="B34" s="7" t="s">
        <x:v>85</x:v>
      </x:c>
      <x:c r="C34" s="19">
        <x:v>4800</x:v>
      </x:c>
      <x:c r="D34" s="19" t="n">
        <x:f>=C34*0.6</x:f>
        <x:v>2880</x:v>
      </x:c>
      <x:c r="E34" s="36">
        <x:v>6000</x:v>
      </x:c>
      <x:c r="F34" s="36" t="n">
        <x:f>=E34*0.6</x:f>
        <x:v>3600</x:v>
      </x:c>
      <x:c r="G34" s="7" t="s">
        <x:v>59</x:v>
      </x:c>
      <x:c r="H34" s="19" t="n">
        <x:f>=(D34)*(1)</x:f>
        <x:v>2880</x:v>
      </x:c>
      <x:c r="I34" s="21" t="e">
        <x:f>=ROUNDUP(C34*维护参数!$B$11/维护参数!$B$12*1000,0)</x:f>
        <x:v>#NAME?</x:v>
      </x:c>
      <x:c r="J34" s="7" t="s">
        <x:v>60</x:v>
      </x:c>
      <x:c r="K34" s="24" t="e">
        <x:f>=(MAX(维护参数!$B$4,ROUNDUP(I34/10000,0)))*(维护参数!$B$2)</x:f>
        <x:v>#NAME?</x:v>
      </x:c>
      <x:c r="L34" s="23" t="e">
        <x:f>=ROUNDUP(C34*维护参数!$B$16/维护参数!$B$15/1000,0)*1000</x:f>
        <x:v>#NAME?</x:v>
      </x:c>
      <x:c r="M34" s="23" t="e">
        <x:f>=ROUNDUP(C34*维护参数!$B$17/维护参数!$B$15/10,0)*10</x:f>
        <x:v>#NAME?</x:v>
      </x:c>
      <x:c r="N34" s="23" t="e">
        <x:f>=ROUNDUP(C34*维护参数!$B$18/维护参数!$B$15/10,0)*10</x:f>
        <x:v>#NAME?</x:v>
      </x:c>
      <x:c r="O34" s="23" t="e">
        <x:f>=ROUNDUP(C34*维护参数!$B$19/维护参数!$B$15/10,0)*10</x:f>
        <x:v>#NAME?</x:v>
      </x:c>
      <x:c r="P34" s="24" t="e">
        <x:f>=L34/1000*维护参数!$B$6+M34*维护参数!$B$7+N34*维护参数!$B$8+O34*维护参数!$B$9</x:f>
        <x:v>#NAME?</x:v>
      </x:c>
      <x:c r="Q34" s="24" t="e">
        <x:f>=SUM(K34,P34)</x:f>
        <x:v>#NAME?</x:v>
      </x:c>
      <x:c r="R34" s="32" t="e">
        <x:f>=Q34/H34</x:f>
        <x:v>#NAME?</x:v>
      </x:c>
      <x:c r="S34" s="24" t="e">
        <x:f>=H34-Q34</x:f>
        <x:v>#NAME?</x:v>
      </x:c>
      <x:c r="T34" s="32" t="e">
        <x:f>=S34/(C34)</x:f>
        <x:v>#NAME?</x:v>
      </x:c>
      <x:c r="U34" s="24" t="e">
        <x:f>=S34*维护参数!$B$20</x:f>
        <x:v>#NAME?</x:v>
      </x:c>
      <x:c r="V34" s="32" t="e">
        <x:f>=U34/(C34)</x:f>
        <x:v>#NAME?</x:v>
      </x:c>
      <x:c r="W34" s="7" t="s">
        <x:v>1</x:v>
      </x:c>
      <x:c r="X34" s="7" t="s">
        <x:v>89</x:v>
      </x:c>
      <x:c r="Z34" s="90" t="s">
        <x:v>1</x:v>
      </x:c>
      <x:c r="AA34" s="90" t="s">
        <x:v>1</x:v>
      </x:c>
      <x:c r="AB34" s="92" t="s">
        <x:v>1</x:v>
      </x:c>
      <x:c r="AC34" s="92" t="s">
        <x:v>1</x:v>
      </x:c>
      <x:c r="AD34" s="92" t="s">
        <x:v>1</x:v>
      </x:c>
      <x:c r="AE34" s="92" t="s">
        <x:v>1</x:v>
      </x:c>
      <x:c r="AF34" s="90" t="s">
        <x:v>1</x:v>
      </x:c>
      <x:c r="AG34" s="92" t="s">
        <x:v>1</x:v>
      </x:c>
      <x:c r="AH34" s="90" t="s">
        <x:v>1</x:v>
      </x:c>
      <x:c r="AI34" s="90" t="s">
        <x:v>1</x:v>
      </x:c>
      <x:c r="AJ34" s="90" t="s">
        <x:v>1</x:v>
      </x:c>
    </x:row>
    <x:row r="35">
      <x:c r="A35" s="7" t="s">
        <x:v>1</x:v>
      </x:c>
      <x:c r="B35" s="7" t="s">
        <x:v>1</x:v>
      </x:c>
      <x:c r="C35" s="28" t="s">
        <x:v>1</x:v>
      </x:c>
      <x:c r="D35" s="28" t="s">
        <x:v>1</x:v>
      </x:c>
      <x:c r="E35" s="28" t="s">
        <x:v>1</x:v>
      </x:c>
      <x:c r="F35" s="28" t="s">
        <x:v>1</x:v>
      </x:c>
      <x:c r="G35" s="7" t="s">
        <x:v>63</x:v>
      </x:c>
      <x:c r="H35" s="19" t="e">
        <x:f>=(C34)*(维护参数!$B$10)</x:f>
        <x:v>#NAME?</x:v>
      </x:c>
      <x:c r="I35" s="30" t="s">
        <x:v>1</x:v>
      </x:c>
      <x:c r="J35" s="7" t="s">
        <x:v>64</x:v>
      </x:c>
      <x:c r="K35" s="24" t="e">
        <x:f>=(MAX(维护参数!$B$5,ROUNDUP(I34/10000,0)))*(维护参数!$B$3)</x:f>
        <x:v>#NAME?</x:v>
      </x:c>
      <x:c r="L35" s="30" t="s">
        <x:v>1</x:v>
      </x:c>
      <x:c r="M35" s="30" t="s">
        <x:v>1</x:v>
      </x:c>
      <x:c r="N35" s="30" t="s">
        <x:v>1</x:v>
      </x:c>
      <x:c r="O35" s="30" t="s">
        <x:v>1</x:v>
      </x:c>
      <x:c r="P35" s="31" t="s">
        <x:v>1</x:v>
      </x:c>
      <x:c r="Q35" s="24" t="e">
        <x:f>=SUM(K35,P34)</x:f>
        <x:v>#NAME?</x:v>
      </x:c>
      <x:c r="R35" s="32" t="e">
        <x:f>=Q35/H35</x:f>
        <x:v>#NAME?</x:v>
      </x:c>
      <x:c r="S35" s="24" t="e">
        <x:f>=H35-Q35</x:f>
        <x:v>#NAME?</x:v>
      </x:c>
      <x:c r="T35" s="32" t="e">
        <x:f>=S35/(C34)</x:f>
        <x:v>#NAME?</x:v>
      </x:c>
      <x:c r="U35" s="24" t="e">
        <x:f>=S35*维护参数!$B$20</x:f>
        <x:v>#NAME?</x:v>
      </x:c>
      <x:c r="V35" s="32" t="e">
        <x:f>=U35/(C34)</x:f>
        <x:v>#NAME?</x:v>
      </x:c>
      <x:c r="W35" s="7" t="s">
        <x:v>1</x:v>
      </x:c>
      <x:c r="X35" s="7" t="s">
        <x:v>1</x:v>
      </x:c>
      <x:c r="Z35" s="90" t="s">
        <x:v>1</x:v>
      </x:c>
      <x:c r="AA35" s="90" t="s">
        <x:v>1</x:v>
      </x:c>
      <x:c r="AB35" s="92" t="s">
        <x:v>1</x:v>
      </x:c>
      <x:c r="AC35" s="92" t="s">
        <x:v>1</x:v>
      </x:c>
      <x:c r="AD35" s="92" t="s">
        <x:v>1</x:v>
      </x:c>
      <x:c r="AE35" s="92" t="s">
        <x:v>1</x:v>
      </x:c>
      <x:c r="AF35" s="90" t="s">
        <x:v>1</x:v>
      </x:c>
      <x:c r="AG35" s="92" t="s">
        <x:v>1</x:v>
      </x:c>
      <x:c r="AH35" s="92" t="s">
        <x:v>1</x:v>
      </x:c>
      <x:c r="AI35" s="90" t="s">
        <x:v>1</x:v>
      </x:c>
      <x:c r="AJ35" s="90" t="s">
        <x:v>1</x:v>
      </x:c>
    </x:row>
    <x:row r="36">
      <x:c r="A36" s="7" t="s">
        <x:v>90</x:v>
      </x:c>
      <x:c r="B36" s="7" t="s">
        <x:v>72</x:v>
      </x:c>
      <x:c r="C36" s="19">
        <x:v>3500</x:v>
      </x:c>
      <x:c r="D36" s="19" t="n">
        <x:f>=C36*0.6</x:f>
        <x:v>2100</x:v>
      </x:c>
      <x:c r="E36" s="36">
        <x:v>4500</x:v>
      </x:c>
      <x:c r="F36" s="36" t="n">
        <x:f>=E36*0.6</x:f>
        <x:v>2700</x:v>
      </x:c>
      <x:c r="G36" s="7" t="s">
        <x:v>59</x:v>
      </x:c>
      <x:c r="H36" s="19" t="n">
        <x:f>=(D36)*(1)</x:f>
        <x:v>2100</x:v>
      </x:c>
      <x:c r="I36" s="21" t="e">
        <x:f>=ROUNDUP(C36*维护参数!$B$11/维护参数!$B$12*1000,0)</x:f>
        <x:v>#NAME?</x:v>
      </x:c>
      <x:c r="J36" s="7" t="s">
        <x:v>60</x:v>
      </x:c>
      <x:c r="K36" s="24" t="e">
        <x:f>=(MAX(维护参数!$B$4,ROUNDUP(I36/10000,0)))*(维护参数!$B$2)</x:f>
        <x:v>#NAME?</x:v>
      </x:c>
      <x:c r="L36" s="23" t="e">
        <x:f>=ROUNDUP(C36*维护参数!$B$16/维护参数!$B$15/1000,0)*1000</x:f>
        <x:v>#NAME?</x:v>
      </x:c>
      <x:c r="M36" s="23" t="e">
        <x:f>=ROUNDUP(C36*维护参数!$B$17/维护参数!$B$15/10,0)*10</x:f>
        <x:v>#NAME?</x:v>
      </x:c>
      <x:c r="N36" s="23" t="e">
        <x:f>=ROUNDUP(C36*维护参数!$B$18/维护参数!$B$15/10,0)*10</x:f>
        <x:v>#NAME?</x:v>
      </x:c>
      <x:c r="O36" s="23" t="e">
        <x:f>=ROUNDUP(C36*维护参数!$B$19/维护参数!$B$15/10,0)*10</x:f>
        <x:v>#NAME?</x:v>
      </x:c>
      <x:c r="P36" s="24" t="e">
        <x:f>=L36/1000*维护参数!$B$6+M36*维护参数!$B$7+N36*维护参数!$B$8+O36*维护参数!$B$9</x:f>
        <x:v>#NAME?</x:v>
      </x:c>
      <x:c r="Q36" s="24" t="e">
        <x:f>=SUM(K36,P36)</x:f>
        <x:v>#NAME?</x:v>
      </x:c>
      <x:c r="R36" s="32" t="e">
        <x:f>=Q36/H36</x:f>
        <x:v>#NAME?</x:v>
      </x:c>
      <x:c r="S36" s="24" t="e">
        <x:f>=H36-Q36</x:f>
        <x:v>#NAME?</x:v>
      </x:c>
      <x:c r="T36" s="32" t="e">
        <x:f>=S36/(C36)</x:f>
        <x:v>#NAME?</x:v>
      </x:c>
      <x:c r="U36" s="24" t="e">
        <x:f>=S36*维护参数!$B$20</x:f>
        <x:v>#NAME?</x:v>
      </x:c>
      <x:c r="V36" s="32" t="e">
        <x:f>=U36/(C36)</x:f>
        <x:v>#NAME?</x:v>
      </x:c>
      <x:c r="W36" s="7" t="s">
        <x:v>82</x:v>
      </x:c>
      <x:c r="X36" s="37" t="s">
        <x:v>91</x:v>
      </x:c>
      <x:c r="Z36" s="90" t="s">
        <x:v>1</x:v>
      </x:c>
      <x:c r="AA36" s="90" t="s">
        <x:v>1</x:v>
      </x:c>
      <x:c r="AB36" s="92" t="s">
        <x:v>1</x:v>
      </x:c>
      <x:c r="AC36" s="92" t="s">
        <x:v>1</x:v>
      </x:c>
      <x:c r="AD36" s="92" t="s">
        <x:v>1</x:v>
      </x:c>
      <x:c r="AE36" s="92" t="s">
        <x:v>1</x:v>
      </x:c>
      <x:c r="AF36" s="90" t="s">
        <x:v>1</x:v>
      </x:c>
      <x:c r="AG36" s="92" t="s">
        <x:v>1</x:v>
      </x:c>
      <x:c r="AH36" s="90" t="s">
        <x:v>1</x:v>
      </x:c>
      <x:c r="AI36" s="90" t="s">
        <x:v>1</x:v>
      </x:c>
      <x:c r="AJ36" s="90" t="s">
        <x:v>1</x:v>
      </x:c>
    </x:row>
    <x:row r="37">
      <x:c r="A37" s="7" t="s">
        <x:v>1</x:v>
      </x:c>
      <x:c r="B37" s="7" t="s">
        <x:v>1</x:v>
      </x:c>
      <x:c r="C37" s="28" t="s">
        <x:v>1</x:v>
      </x:c>
      <x:c r="D37" s="28" t="s">
        <x:v>1</x:v>
      </x:c>
      <x:c r="E37" s="28" t="s">
        <x:v>1</x:v>
      </x:c>
      <x:c r="F37" s="28" t="s">
        <x:v>1</x:v>
      </x:c>
      <x:c r="G37" s="7" t="s">
        <x:v>63</x:v>
      </x:c>
      <x:c r="H37" s="19" t="e">
        <x:f>=(C36)*(维护参数!$B$10)</x:f>
        <x:v>#NAME?</x:v>
      </x:c>
      <x:c r="I37" s="30" t="s">
        <x:v>1</x:v>
      </x:c>
      <x:c r="J37" s="7" t="s">
        <x:v>64</x:v>
      </x:c>
      <x:c r="K37" s="24" t="e">
        <x:f>=(MAX(维护参数!$B$5,ROUNDUP(I36/10000,0)))*(维护参数!$B$3)</x:f>
        <x:v>#NAME?</x:v>
      </x:c>
      <x:c r="L37" s="30" t="s">
        <x:v>1</x:v>
      </x:c>
      <x:c r="M37" s="30" t="s">
        <x:v>1</x:v>
      </x:c>
      <x:c r="N37" s="30" t="s">
        <x:v>1</x:v>
      </x:c>
      <x:c r="O37" s="30" t="s">
        <x:v>1</x:v>
      </x:c>
      <x:c r="P37" s="31" t="s">
        <x:v>1</x:v>
      </x:c>
      <x:c r="Q37" s="24" t="e">
        <x:f>=SUM(K37,P36)</x:f>
        <x:v>#NAME?</x:v>
      </x:c>
      <x:c r="R37" s="32" t="e">
        <x:f>=Q37/H37</x:f>
        <x:v>#NAME?</x:v>
      </x:c>
      <x:c r="S37" s="24" t="e">
        <x:f>=H37-Q37</x:f>
        <x:v>#NAME?</x:v>
      </x:c>
      <x:c r="T37" s="32" t="e">
        <x:f>=S37/(C36)</x:f>
        <x:v>#NAME?</x:v>
      </x:c>
      <x:c r="U37" s="24" t="e">
        <x:f>=S37*维护参数!$B$20</x:f>
        <x:v>#NAME?</x:v>
      </x:c>
      <x:c r="V37" s="32" t="e">
        <x:f>=U37/(C36)</x:f>
        <x:v>#NAME?</x:v>
      </x:c>
      <x:c r="W37" s="7" t="s">
        <x:v>1</x:v>
      </x:c>
      <x:c r="X37" s="7" t="s">
        <x:v>1</x:v>
      </x:c>
      <x:c r="Z37" s="90" t="s">
        <x:v>1</x:v>
      </x:c>
      <x:c r="AA37" s="90" t="s">
        <x:v>1</x:v>
      </x:c>
      <x:c r="AB37" s="92" t="s">
        <x:v>1</x:v>
      </x:c>
      <x:c r="AC37" s="92" t="s">
        <x:v>1</x:v>
      </x:c>
      <x:c r="AD37" s="92" t="s">
        <x:v>1</x:v>
      </x:c>
      <x:c r="AE37" s="92" t="s">
        <x:v>1</x:v>
      </x:c>
      <x:c r="AF37" s="90" t="s">
        <x:v>1</x:v>
      </x:c>
      <x:c r="AG37" s="92" t="s">
        <x:v>1</x:v>
      </x:c>
      <x:c r="AH37" s="92" t="s">
        <x:v>1</x:v>
      </x:c>
      <x:c r="AI37" s="90" t="s">
        <x:v>1</x:v>
      </x:c>
      <x:c r="AJ37" s="90" t="s">
        <x:v>1</x:v>
      </x:c>
    </x:row>
    <x:row r="38">
      <x:c r="A38" s="7" t="s">
        <x:v>92</x:v>
      </x:c>
      <x:c r="B38" s="7" t="s">
        <x:v>93</x:v>
      </x:c>
      <x:c r="C38" s="19">
        <x:v>7800</x:v>
      </x:c>
      <x:c r="D38" s="19" t="n">
        <x:f>=C38*0.6</x:f>
        <x:v>4680</x:v>
      </x:c>
      <x:c r="E38" s="20" t="s">
        <x:v>58</x:v>
      </x:c>
      <x:c r="F38" s="20" t="s">
        <x:v>58</x:v>
      </x:c>
      <x:c r="G38" s="7" t="s">
        <x:v>59</x:v>
      </x:c>
      <x:c r="H38" s="19" t="n">
        <x:f>=(D38)*(1)</x:f>
        <x:v>4680</x:v>
      </x:c>
      <x:c r="I38" s="21" t="e">
        <x:f>=ROUNDUP(C38*维护参数!$B$11/维护参数!$B$12*1000,0)</x:f>
        <x:v>#NAME?</x:v>
      </x:c>
      <x:c r="J38" s="7" t="s">
        <x:v>60</x:v>
      </x:c>
      <x:c r="K38" s="24" t="e">
        <x:f>=(MAX(维护参数!$B$4,ROUNDUP(I38/10000,0)))*(维护参数!$B$2)</x:f>
        <x:v>#NAME?</x:v>
      </x:c>
      <x:c r="L38" s="23" t="e">
        <x:f>=ROUNDUP(C38*维护参数!$B$16/维护参数!$B$15/1000,0)*1000</x:f>
        <x:v>#NAME?</x:v>
      </x:c>
      <x:c r="M38" s="23" t="e">
        <x:f>=ROUNDUP(C38*维护参数!$B$17/维护参数!$B$15/10,0)*10</x:f>
        <x:v>#NAME?</x:v>
      </x:c>
      <x:c r="N38" s="23" t="e">
        <x:f>=ROUNDUP(C38*维护参数!$B$18/维护参数!$B$15/10,0)*10</x:f>
        <x:v>#NAME?</x:v>
      </x:c>
      <x:c r="O38" s="23" t="e">
        <x:f>=ROUNDUP(C38*维护参数!$B$19/维护参数!$B$15/10,0)*10</x:f>
        <x:v>#NAME?</x:v>
      </x:c>
      <x:c r="P38" s="24" t="e">
        <x:f>=L38/1000*维护参数!$B$6+M38*维护参数!$B$7+N38*维护参数!$B$8+O38*维护参数!$B$9</x:f>
        <x:v>#NAME?</x:v>
      </x:c>
      <x:c r="Q38" s="24" t="e">
        <x:f>=SUM(K38,P38)</x:f>
        <x:v>#NAME?</x:v>
      </x:c>
      <x:c r="R38" s="32" t="e">
        <x:f>=Q38/H38</x:f>
        <x:v>#NAME?</x:v>
      </x:c>
      <x:c r="S38" s="24" t="e">
        <x:f>=H38-Q38</x:f>
        <x:v>#NAME?</x:v>
      </x:c>
      <x:c r="T38" s="32" t="e">
        <x:f>=S38/(C38)</x:f>
        <x:v>#NAME?</x:v>
      </x:c>
      <x:c r="U38" s="24" t="e">
        <x:f>=S38*维护参数!$B$20</x:f>
        <x:v>#NAME?</x:v>
      </x:c>
      <x:c r="V38" s="32" t="e">
        <x:f>=U38/(C38)</x:f>
        <x:v>#NAME?</x:v>
      </x:c>
      <x:c r="W38" s="7" t="s">
        <x:v>1</x:v>
      </x:c>
      <x:c r="X38" s="7" t="s">
        <x:v>94</x:v>
      </x:c>
      <x:c r="Z38" s="90" t="s">
        <x:v>1</x:v>
      </x:c>
      <x:c r="AA38" s="90" t="s">
        <x:v>1</x:v>
      </x:c>
      <x:c r="AB38" s="92" t="s">
        <x:v>1</x:v>
      </x:c>
      <x:c r="AC38" s="92" t="s">
        <x:v>1</x:v>
      </x:c>
      <x:c r="AD38" s="92" t="s">
        <x:v>1</x:v>
      </x:c>
      <x:c r="AE38" s="92" t="s">
        <x:v>1</x:v>
      </x:c>
      <x:c r="AF38" s="90" t="s">
        <x:v>1</x:v>
      </x:c>
      <x:c r="AG38" s="92" t="s">
        <x:v>1</x:v>
      </x:c>
      <x:c r="AH38" s="90" t="s">
        <x:v>1</x:v>
      </x:c>
      <x:c r="AI38" s="90" t="s">
        <x:v>1</x:v>
      </x:c>
      <x:c r="AJ38" s="90" t="s">
        <x:v>1</x:v>
      </x:c>
    </x:row>
    <x:row r="39">
      <x:c r="A39" s="7" t="s">
        <x:v>1</x:v>
      </x:c>
      <x:c r="B39" s="7" t="s">
        <x:v>1</x:v>
      </x:c>
      <x:c r="C39" s="28" t="s">
        <x:v>1</x:v>
      </x:c>
      <x:c r="D39" s="28" t="s">
        <x:v>1</x:v>
      </x:c>
      <x:c r="E39" s="28" t="s">
        <x:v>1</x:v>
      </x:c>
      <x:c r="F39" s="28" t="s">
        <x:v>1</x:v>
      </x:c>
      <x:c r="G39" s="7" t="s">
        <x:v>63</x:v>
      </x:c>
      <x:c r="H39" s="19" t="e">
        <x:f>=(C38)*(维护参数!$B$10)</x:f>
        <x:v>#NAME?</x:v>
      </x:c>
      <x:c r="I39" s="30" t="s">
        <x:v>1</x:v>
      </x:c>
      <x:c r="J39" s="7" t="s">
        <x:v>64</x:v>
      </x:c>
      <x:c r="K39" s="24" t="e">
        <x:f>=(MAX(维护参数!$B$5,ROUNDUP(I38/10000,0)))*(维护参数!$B$3)</x:f>
        <x:v>#NAME?</x:v>
      </x:c>
      <x:c r="L39" s="30" t="s">
        <x:v>1</x:v>
      </x:c>
      <x:c r="M39" s="30" t="s">
        <x:v>1</x:v>
      </x:c>
      <x:c r="N39" s="30" t="s">
        <x:v>1</x:v>
      </x:c>
      <x:c r="O39" s="30" t="s">
        <x:v>1</x:v>
      </x:c>
      <x:c r="P39" s="31" t="s">
        <x:v>1</x:v>
      </x:c>
      <x:c r="Q39" s="24" t="e">
        <x:f>=SUM(K39,P38)</x:f>
        <x:v>#NAME?</x:v>
      </x:c>
      <x:c r="R39" s="32" t="e">
        <x:f>=Q39/H39</x:f>
        <x:v>#NAME?</x:v>
      </x:c>
      <x:c r="S39" s="24" t="e">
        <x:f>=H39-Q39</x:f>
        <x:v>#NAME?</x:v>
      </x:c>
      <x:c r="T39" s="32" t="e">
        <x:f>=S39/(C38)</x:f>
        <x:v>#NAME?</x:v>
      </x:c>
      <x:c r="U39" s="24" t="e">
        <x:f>=S39*维护参数!$B$20</x:f>
        <x:v>#NAME?</x:v>
      </x:c>
      <x:c r="V39" s="32" t="e">
        <x:f>=U39/(C38)</x:f>
        <x:v>#NAME?</x:v>
      </x:c>
      <x:c r="W39" s="7" t="s">
        <x:v>1</x:v>
      </x:c>
      <x:c r="X39" s="7" t="s">
        <x:v>1</x:v>
      </x:c>
      <x:c r="Z39" s="90" t="s">
        <x:v>1</x:v>
      </x:c>
      <x:c r="AA39" s="90" t="s">
        <x:v>1</x:v>
      </x:c>
      <x:c r="AB39" s="92" t="s">
        <x:v>1</x:v>
      </x:c>
      <x:c r="AC39" s="92" t="s">
        <x:v>1</x:v>
      </x:c>
      <x:c r="AD39" s="92" t="s">
        <x:v>1</x:v>
      </x:c>
      <x:c r="AE39" s="92" t="s">
        <x:v>1</x:v>
      </x:c>
      <x:c r="AF39" s="90" t="s">
        <x:v>1</x:v>
      </x:c>
      <x:c r="AG39" s="92" t="s">
        <x:v>1</x:v>
      </x:c>
      <x:c r="AH39" s="92" t="s">
        <x:v>1</x:v>
      </x:c>
      <x:c r="AI39" s="90" t="s">
        <x:v>1</x:v>
      </x:c>
      <x:c r="AJ39" s="90" t="s">
        <x:v>1</x:v>
      </x:c>
    </x:row>
    <x:row r="40">
      <x:c r="A40" s="7" t="s">
        <x:v>95</x:v>
      </x:c>
      <x:c r="B40" s="7" t="s">
        <x:v>96</x:v>
      </x:c>
      <x:c r="C40" s="19">
        <x:v>3750</x:v>
      </x:c>
      <x:c r="D40" s="19" t="n">
        <x:f>=C40*0.6</x:f>
        <x:v>2250</x:v>
      </x:c>
      <x:c r="E40" s="36">
        <x:v>5000</x:v>
      </x:c>
      <x:c r="F40" s="36" t="n">
        <x:f>=E40*0.6</x:f>
        <x:v>3000</x:v>
      </x:c>
      <x:c r="G40" s="7" t="s">
        <x:v>59</x:v>
      </x:c>
      <x:c r="H40" s="19" t="n">
        <x:f>=(D40)*(1)</x:f>
        <x:v>2250</x:v>
      </x:c>
      <x:c r="I40" s="21" t="e">
        <x:f>=ROUNDUP(C40*维护参数!$B$11/维护参数!$B$12*1000,0)</x:f>
        <x:v>#NAME?</x:v>
      </x:c>
      <x:c r="J40" s="7" t="s">
        <x:v>60</x:v>
      </x:c>
      <x:c r="K40" s="24" t="e">
        <x:f>=(MAX(维护参数!$B$4,ROUNDUP(I40/10000,0)))*(维护参数!$B$2)</x:f>
        <x:v>#NAME?</x:v>
      </x:c>
      <x:c r="L40" s="23" t="e">
        <x:f>=ROUNDUP(C40*维护参数!$B$16/维护参数!$B$15/1000,0)*1000</x:f>
        <x:v>#NAME?</x:v>
      </x:c>
      <x:c r="M40" s="23" t="e">
        <x:f>=ROUNDUP(C40*维护参数!$B$17/维护参数!$B$15/10,0)*10</x:f>
        <x:v>#NAME?</x:v>
      </x:c>
      <x:c r="N40" s="23" t="e">
        <x:f>=ROUNDUP(C40*维护参数!$B$18/维护参数!$B$15/10,0)*10</x:f>
        <x:v>#NAME?</x:v>
      </x:c>
      <x:c r="O40" s="23" t="e">
        <x:f>=ROUNDUP(C40*维护参数!$B$19/维护参数!$B$15/10,0)*10</x:f>
        <x:v>#NAME?</x:v>
      </x:c>
      <x:c r="P40" s="24" t="e">
        <x:f>=L40/1000*维护参数!$B$6+M40*维护参数!$B$7+N40*维护参数!$B$8+O40*维护参数!$B$9</x:f>
        <x:v>#NAME?</x:v>
      </x:c>
      <x:c r="Q40" s="24" t="e">
        <x:f>=SUM(K40,P40)</x:f>
        <x:v>#NAME?</x:v>
      </x:c>
      <x:c r="R40" s="32" t="e">
        <x:f>=Q40/H40</x:f>
        <x:v>#NAME?</x:v>
      </x:c>
      <x:c r="S40" s="24" t="e">
        <x:f>=H40-Q40</x:f>
        <x:v>#NAME?</x:v>
      </x:c>
      <x:c r="T40" s="32" t="e">
        <x:f>=S40/(C40)</x:f>
        <x:v>#NAME?</x:v>
      </x:c>
      <x:c r="U40" s="24" t="e">
        <x:f>=S40*维护参数!$B$20</x:f>
        <x:v>#NAME?</x:v>
      </x:c>
      <x:c r="V40" s="32" t="e">
        <x:f>=U40/(C40)</x:f>
        <x:v>#NAME?</x:v>
      </x:c>
      <x:c r="W40" s="7" t="s">
        <x:v>82</x:v>
      </x:c>
      <x:c r="X40" s="7" t="s">
        <x:v>97</x:v>
      </x:c>
      <x:c r="Z40" s="90" t="s">
        <x:v>1</x:v>
      </x:c>
      <x:c r="AA40" s="90" t="s">
        <x:v>1</x:v>
      </x:c>
      <x:c r="AB40" s="92" t="s">
        <x:v>1</x:v>
      </x:c>
      <x:c r="AC40" s="92" t="s">
        <x:v>1</x:v>
      </x:c>
      <x:c r="AD40" s="92" t="s">
        <x:v>1</x:v>
      </x:c>
      <x:c r="AE40" s="92" t="s">
        <x:v>1</x:v>
      </x:c>
      <x:c r="AF40" s="90" t="s">
        <x:v>1</x:v>
      </x:c>
      <x:c r="AG40" s="92" t="s">
        <x:v>1</x:v>
      </x:c>
      <x:c r="AH40" s="90" t="s">
        <x:v>1</x:v>
      </x:c>
      <x:c r="AI40" s="90" t="s">
        <x:v>1</x:v>
      </x:c>
      <x:c r="AJ40" s="90" t="s">
        <x:v>1</x:v>
      </x:c>
    </x:row>
    <x:row r="41">
      <x:c r="A41" s="7" t="s">
        <x:v>1</x:v>
      </x:c>
      <x:c r="B41" s="7" t="s">
        <x:v>1</x:v>
      </x:c>
      <x:c r="C41" s="28" t="s">
        <x:v>1</x:v>
      </x:c>
      <x:c r="D41" s="28" t="s">
        <x:v>1</x:v>
      </x:c>
      <x:c r="E41" s="28" t="s">
        <x:v>1</x:v>
      </x:c>
      <x:c r="F41" s="28" t="s">
        <x:v>1</x:v>
      </x:c>
      <x:c r="G41" s="7" t="s">
        <x:v>63</x:v>
      </x:c>
      <x:c r="H41" s="19" t="e">
        <x:f>=(C40)*(维护参数!$B$10)</x:f>
        <x:v>#NAME?</x:v>
      </x:c>
      <x:c r="I41" s="30" t="s">
        <x:v>1</x:v>
      </x:c>
      <x:c r="J41" s="7" t="s">
        <x:v>64</x:v>
      </x:c>
      <x:c r="K41" s="24" t="e">
        <x:f>=(MAX(维护参数!$B$5,ROUNDUP(I40/10000,0)))*(维护参数!$B$3)</x:f>
        <x:v>#NAME?</x:v>
      </x:c>
      <x:c r="L41" s="30" t="s">
        <x:v>1</x:v>
      </x:c>
      <x:c r="M41" s="30" t="s">
        <x:v>1</x:v>
      </x:c>
      <x:c r="N41" s="30" t="s">
        <x:v>1</x:v>
      </x:c>
      <x:c r="O41" s="30" t="s">
        <x:v>1</x:v>
      </x:c>
      <x:c r="P41" s="31" t="s">
        <x:v>1</x:v>
      </x:c>
      <x:c r="Q41" s="24" t="e">
        <x:f>=SUM(K41,P40)</x:f>
        <x:v>#NAME?</x:v>
      </x:c>
      <x:c r="R41" s="32" t="e">
        <x:f>=Q41/H41</x:f>
        <x:v>#NAME?</x:v>
      </x:c>
      <x:c r="S41" s="24" t="e">
        <x:f>=H41-Q41</x:f>
        <x:v>#NAME?</x:v>
      </x:c>
      <x:c r="T41" s="32" t="e">
        <x:f>=S41/(C40)</x:f>
        <x:v>#NAME?</x:v>
      </x:c>
      <x:c r="U41" s="24" t="e">
        <x:f>=S41*维护参数!$B$20</x:f>
        <x:v>#NAME?</x:v>
      </x:c>
      <x:c r="V41" s="32" t="e">
        <x:f>=U41/(C40)</x:f>
        <x:v>#NAME?</x:v>
      </x:c>
      <x:c r="W41" s="7" t="s">
        <x:v>1</x:v>
      </x:c>
      <x:c r="X41" s="7" t="s">
        <x:v>1</x:v>
      </x:c>
      <x:c r="Z41" s="90" t="s">
        <x:v>1</x:v>
      </x:c>
      <x:c r="AA41" s="90" t="s">
        <x:v>1</x:v>
      </x:c>
      <x:c r="AB41" s="92" t="s">
        <x:v>1</x:v>
      </x:c>
      <x:c r="AC41" s="92" t="s">
        <x:v>1</x:v>
      </x:c>
      <x:c r="AD41" s="92" t="s">
        <x:v>1</x:v>
      </x:c>
      <x:c r="AE41" s="92" t="s">
        <x:v>1</x:v>
      </x:c>
      <x:c r="AF41" s="90" t="s">
        <x:v>1</x:v>
      </x:c>
      <x:c r="AG41" s="92" t="s">
        <x:v>1</x:v>
      </x:c>
      <x:c r="AH41" s="92" t="s">
        <x:v>1</x:v>
      </x:c>
      <x:c r="AI41" s="90" t="s">
        <x:v>1</x:v>
      </x:c>
      <x:c r="AJ41" s="90" t="s">
        <x:v>1</x:v>
      </x:c>
    </x:row>
    <x:row r="42">
      <x:c r="A42" s="7" t="s">
        <x:v>98</x:v>
      </x:c>
      <x:c r="B42" s="7" t="s">
        <x:v>96</x:v>
      </x:c>
      <x:c r="C42" s="19">
        <x:v>3000</x:v>
      </x:c>
      <x:c r="D42" s="19" t="n">
        <x:f>=C42*0.6</x:f>
        <x:v>1800</x:v>
      </x:c>
      <x:c r="E42" s="36">
        <x:v>5000</x:v>
      </x:c>
      <x:c r="F42" s="36" t="n">
        <x:f>=E42*0.6</x:f>
        <x:v>3000</x:v>
      </x:c>
      <x:c r="G42" s="7" t="s">
        <x:v>59</x:v>
      </x:c>
      <x:c r="H42" s="19" t="n">
        <x:f>=(D42)*(1)</x:f>
        <x:v>1800</x:v>
      </x:c>
      <x:c r="I42" s="21" t="e">
        <x:f>=ROUNDUP(C42*维护参数!$B$11/维护参数!$B$12*1000,0)</x:f>
        <x:v>#NAME?</x:v>
      </x:c>
      <x:c r="J42" s="7" t="s">
        <x:v>60</x:v>
      </x:c>
      <x:c r="K42" s="24" t="e">
        <x:f>=(MAX(维护参数!$B$4,ROUNDUP(I42/10000,0)))*(维护参数!$B$2)</x:f>
        <x:v>#NAME?</x:v>
      </x:c>
      <x:c r="L42" s="23" t="e">
        <x:f>=ROUNDUP(C42*维护参数!$B$16/维护参数!$B$15/1000,0)*1000</x:f>
        <x:v>#NAME?</x:v>
      </x:c>
      <x:c r="M42" s="23" t="e">
        <x:f>=ROUNDUP(C42*维护参数!$B$17/维护参数!$B$15/10,0)*10</x:f>
        <x:v>#NAME?</x:v>
      </x:c>
      <x:c r="N42" s="23" t="e">
        <x:f>=ROUNDUP(C42*维护参数!$B$18/维护参数!$B$15/10,0)*10</x:f>
        <x:v>#NAME?</x:v>
      </x:c>
      <x:c r="O42" s="23" t="e">
        <x:f>=ROUNDUP(C42*维护参数!$B$19/维护参数!$B$15/10,0)*10</x:f>
        <x:v>#NAME?</x:v>
      </x:c>
      <x:c r="P42" s="24" t="e">
        <x:f>=L42/1000*维护参数!$B$6+M42*维护参数!$B$7+N42*维护参数!$B$8+O42*维护参数!$B$9</x:f>
        <x:v>#NAME?</x:v>
      </x:c>
      <x:c r="Q42" s="24" t="e">
        <x:f>=SUM(K42,P42)</x:f>
        <x:v>#NAME?</x:v>
      </x:c>
      <x:c r="R42" s="32" t="e">
        <x:f>=Q42/H42</x:f>
        <x:v>#NAME?</x:v>
      </x:c>
      <x:c r="S42" s="24" t="e">
        <x:f>=H42-Q42</x:f>
        <x:v>#NAME?</x:v>
      </x:c>
      <x:c r="T42" s="32" t="e">
        <x:f>=S42/(C42)</x:f>
        <x:v>#NAME?</x:v>
      </x:c>
      <x:c r="U42" s="24" t="e">
        <x:f>=S42*维护参数!$B$20</x:f>
        <x:v>#NAME?</x:v>
      </x:c>
      <x:c r="V42" s="32" t="e">
        <x:f>=U42/(C42)</x:f>
        <x:v>#NAME?</x:v>
      </x:c>
      <x:c r="W42" s="38" t="s">
        <x:v>99</x:v>
      </x:c>
      <x:c r="X42" s="7" t="s">
        <x:v>100</x:v>
      </x:c>
      <x:c r="Z42" s="90" t="s">
        <x:v>1</x:v>
      </x:c>
      <x:c r="AA42" s="90" t="s">
        <x:v>1</x:v>
      </x:c>
      <x:c r="AB42" s="92" t="s">
        <x:v>1</x:v>
      </x:c>
      <x:c r="AC42" s="92" t="s">
        <x:v>1</x:v>
      </x:c>
      <x:c r="AD42" s="92" t="s">
        <x:v>1</x:v>
      </x:c>
      <x:c r="AE42" s="92" t="s">
        <x:v>1</x:v>
      </x:c>
      <x:c r="AF42" s="90" t="s">
        <x:v>1</x:v>
      </x:c>
      <x:c r="AG42" s="92" t="s">
        <x:v>1</x:v>
      </x:c>
      <x:c r="AH42" s="90" t="s">
        <x:v>1</x:v>
      </x:c>
      <x:c r="AI42" s="90" t="s">
        <x:v>1</x:v>
      </x:c>
      <x:c r="AJ42" s="90" t="s">
        <x:v>1</x:v>
      </x:c>
    </x:row>
    <x:row r="43">
      <x:c r="A43" s="7" t="s">
        <x:v>1</x:v>
      </x:c>
      <x:c r="B43" s="7" t="s">
        <x:v>1</x:v>
      </x:c>
      <x:c r="C43" s="28" t="s">
        <x:v>1</x:v>
      </x:c>
      <x:c r="D43" s="28" t="s">
        <x:v>1</x:v>
      </x:c>
      <x:c r="E43" s="28" t="s">
        <x:v>1</x:v>
      </x:c>
      <x:c r="F43" s="28" t="s">
        <x:v>1</x:v>
      </x:c>
      <x:c r="G43" s="7" t="s">
        <x:v>63</x:v>
      </x:c>
      <x:c r="H43" s="19" t="e">
        <x:f>=(C42)*(维护参数!$B$10)</x:f>
        <x:v>#NAME?</x:v>
      </x:c>
      <x:c r="I43" s="30" t="s">
        <x:v>1</x:v>
      </x:c>
      <x:c r="J43" s="7" t="s">
        <x:v>64</x:v>
      </x:c>
      <x:c r="K43" s="24" t="e">
        <x:f>=(MAX(维护参数!$B$5,ROUNDUP(I42/10000,0)))*(维护参数!$B$3)</x:f>
        <x:v>#NAME?</x:v>
      </x:c>
      <x:c r="L43" s="30" t="s">
        <x:v>1</x:v>
      </x:c>
      <x:c r="M43" s="30" t="s">
        <x:v>1</x:v>
      </x:c>
      <x:c r="N43" s="30" t="s">
        <x:v>1</x:v>
      </x:c>
      <x:c r="O43" s="30" t="s">
        <x:v>1</x:v>
      </x:c>
      <x:c r="P43" s="31" t="s">
        <x:v>1</x:v>
      </x:c>
      <x:c r="Q43" s="24" t="e">
        <x:f>=SUM(K43,P42)</x:f>
        <x:v>#NAME?</x:v>
      </x:c>
      <x:c r="R43" s="32" t="e">
        <x:f>=Q43/H43</x:f>
        <x:v>#NAME?</x:v>
      </x:c>
      <x:c r="S43" s="24" t="e">
        <x:f>=H43-Q43</x:f>
        <x:v>#NAME?</x:v>
      </x:c>
      <x:c r="T43" s="32" t="e">
        <x:f>=S43/(C42)</x:f>
        <x:v>#NAME?</x:v>
      </x:c>
      <x:c r="U43" s="24" t="e">
        <x:f>=S43*维护参数!$B$20</x:f>
        <x:v>#NAME?</x:v>
      </x:c>
      <x:c r="V43" s="32" t="e">
        <x:f>=U43/(C42)</x:f>
        <x:v>#NAME?</x:v>
      </x:c>
      <x:c r="W43" s="7" t="s">
        <x:v>1</x:v>
      </x:c>
      <x:c r="X43" s="7" t="s">
        <x:v>1</x:v>
      </x:c>
      <x:c r="Z43" s="90" t="s">
        <x:v>1</x:v>
      </x:c>
      <x:c r="AA43" s="90" t="s">
        <x:v>1</x:v>
      </x:c>
      <x:c r="AB43" s="92" t="s">
        <x:v>1</x:v>
      </x:c>
      <x:c r="AC43" s="92" t="s">
        <x:v>1</x:v>
      </x:c>
      <x:c r="AD43" s="92" t="s">
        <x:v>1</x:v>
      </x:c>
      <x:c r="AE43" s="92" t="s">
        <x:v>1</x:v>
      </x:c>
      <x:c r="AF43" s="90" t="s">
        <x:v>1</x:v>
      </x:c>
      <x:c r="AG43" s="92" t="s">
        <x:v>1</x:v>
      </x:c>
      <x:c r="AH43" s="92" t="s">
        <x:v>1</x:v>
      </x:c>
      <x:c r="AI43" s="90" t="s">
        <x:v>1</x:v>
      </x:c>
      <x:c r="AJ43" s="90" t="s">
        <x:v>1</x:v>
      </x:c>
    </x:row>
    <x:row r="44">
      <x:c r="A44" s="7" t="s">
        <x:v>101</x:v>
      </x:c>
      <x:c r="B44" s="7" t="s">
        <x:v>81</x:v>
      </x:c>
      <x:c r="C44" s="19">
        <x:v>7150</x:v>
      </x:c>
      <x:c r="D44" s="19" t="n">
        <x:f>=C44*0.6</x:f>
        <x:v>4290</x:v>
      </x:c>
      <x:c r="E44" s="20" t="s">
        <x:v>58</x:v>
      </x:c>
      <x:c r="F44" s="20" t="s">
        <x:v>58</x:v>
      </x:c>
      <x:c r="G44" s="7" t="s">
        <x:v>59</x:v>
      </x:c>
      <x:c r="H44" s="19" t="n">
        <x:f>=(D44)*(1)</x:f>
        <x:v>4290</x:v>
      </x:c>
      <x:c r="I44" s="21" t="e">
        <x:f>=ROUNDUP(C44*维护参数!$B$11/维护参数!$B$12*1000,0)</x:f>
        <x:v>#NAME?</x:v>
      </x:c>
      <x:c r="J44" s="7" t="s">
        <x:v>60</x:v>
      </x:c>
      <x:c r="K44" s="24" t="e">
        <x:f>=(MAX(维护参数!$B$4,ROUNDUP(I44/10000,0)))*(维护参数!$B$2)</x:f>
        <x:v>#NAME?</x:v>
      </x:c>
      <x:c r="L44" s="23" t="e">
        <x:f>=ROUNDUP(C44*维护参数!$B$16/维护参数!$B$15/1000,0)*1000</x:f>
        <x:v>#NAME?</x:v>
      </x:c>
      <x:c r="M44" s="23" t="e">
        <x:f>=ROUNDUP(C44*维护参数!$B$17/维护参数!$B$15/10,0)*10</x:f>
        <x:v>#NAME?</x:v>
      </x:c>
      <x:c r="N44" s="23" t="e">
        <x:f>=ROUNDUP(C44*维护参数!$B$18/维护参数!$B$15/10,0)*10</x:f>
        <x:v>#NAME?</x:v>
      </x:c>
      <x:c r="O44" s="23" t="e">
        <x:f>=ROUNDUP(C44*维护参数!$B$19/维护参数!$B$15/10,0)*10</x:f>
        <x:v>#NAME?</x:v>
      </x:c>
      <x:c r="P44" s="24" t="e">
        <x:f>=L44/1000*维护参数!$B$6+M44*维护参数!$B$7+N44*维护参数!$B$8+O44*维护参数!$B$9</x:f>
        <x:v>#NAME?</x:v>
      </x:c>
      <x:c r="Q44" s="24" t="e">
        <x:f>=SUM(K44,P44)</x:f>
        <x:v>#NAME?</x:v>
      </x:c>
      <x:c r="R44" s="32" t="e">
        <x:f>=Q44/H44</x:f>
        <x:v>#NAME?</x:v>
      </x:c>
      <x:c r="S44" s="24" t="e">
        <x:f>=H44-Q44</x:f>
        <x:v>#NAME?</x:v>
      </x:c>
      <x:c r="T44" s="32" t="e">
        <x:f>=S44/(C44)</x:f>
        <x:v>#NAME?</x:v>
      </x:c>
      <x:c r="U44" s="24" t="e">
        <x:f>=S44*维护参数!$B$20</x:f>
        <x:v>#NAME?</x:v>
      </x:c>
      <x:c r="V44" s="32" t="e">
        <x:f>=U44/(C44)</x:f>
        <x:v>#NAME?</x:v>
      </x:c>
      <x:c r="W44" s="7" t="s">
        <x:v>82</x:v>
      </x:c>
      <x:c r="X44" s="7" t="s">
        <x:v>102</x:v>
      </x:c>
      <x:c r="Z44" s="90" t="s">
        <x:v>1</x:v>
      </x:c>
      <x:c r="AA44" s="90" t="s">
        <x:v>1</x:v>
      </x:c>
      <x:c r="AB44" s="92" t="s">
        <x:v>1</x:v>
      </x:c>
      <x:c r="AC44" s="92" t="s">
        <x:v>1</x:v>
      </x:c>
      <x:c r="AD44" s="92" t="s">
        <x:v>1</x:v>
      </x:c>
      <x:c r="AE44" s="92" t="s">
        <x:v>1</x:v>
      </x:c>
      <x:c r="AF44" s="90" t="s">
        <x:v>1</x:v>
      </x:c>
      <x:c r="AG44" s="92" t="s">
        <x:v>1</x:v>
      </x:c>
      <x:c r="AH44" s="90" t="s">
        <x:v>1</x:v>
      </x:c>
      <x:c r="AI44" s="90" t="s">
        <x:v>1</x:v>
      </x:c>
      <x:c r="AJ44" s="90" t="s">
        <x:v>1</x:v>
      </x:c>
    </x:row>
    <x:row r="45">
      <x:c r="A45" s="7" t="s">
        <x:v>1</x:v>
      </x:c>
      <x:c r="B45" s="7" t="s">
        <x:v>1</x:v>
      </x:c>
      <x:c r="C45" s="28" t="s">
        <x:v>1</x:v>
      </x:c>
      <x:c r="D45" s="28" t="s">
        <x:v>1</x:v>
      </x:c>
      <x:c r="E45" s="28" t="s">
        <x:v>1</x:v>
      </x:c>
      <x:c r="F45" s="28" t="s">
        <x:v>1</x:v>
      </x:c>
      <x:c r="G45" s="7" t="s">
        <x:v>63</x:v>
      </x:c>
      <x:c r="H45" s="19" t="e">
        <x:f>=(C44)*(维护参数!$B$10)</x:f>
        <x:v>#NAME?</x:v>
      </x:c>
      <x:c r="I45" s="30" t="s">
        <x:v>1</x:v>
      </x:c>
      <x:c r="J45" s="7" t="s">
        <x:v>64</x:v>
      </x:c>
      <x:c r="K45" s="24" t="e">
        <x:f>=(MAX(维护参数!$B$5,ROUNDUP(I44/10000,0)))*(维护参数!$B$3)</x:f>
        <x:v>#NAME?</x:v>
      </x:c>
      <x:c r="L45" s="30" t="s">
        <x:v>1</x:v>
      </x:c>
      <x:c r="M45" s="30" t="s">
        <x:v>1</x:v>
      </x:c>
      <x:c r="N45" s="30" t="s">
        <x:v>1</x:v>
      </x:c>
      <x:c r="O45" s="30" t="s">
        <x:v>1</x:v>
      </x:c>
      <x:c r="P45" s="31" t="s">
        <x:v>1</x:v>
      </x:c>
      <x:c r="Q45" s="24" t="e">
        <x:f>=SUM(K45,P44)</x:f>
        <x:v>#NAME?</x:v>
      </x:c>
      <x:c r="R45" s="32" t="e">
        <x:f>=Q45/H45</x:f>
        <x:v>#NAME?</x:v>
      </x:c>
      <x:c r="S45" s="24" t="e">
        <x:f>=H45-Q45</x:f>
        <x:v>#NAME?</x:v>
      </x:c>
      <x:c r="T45" s="32" t="e">
        <x:f>=S45/(C44)</x:f>
        <x:v>#NAME?</x:v>
      </x:c>
      <x:c r="U45" s="24" t="e">
        <x:f>=S45*维护参数!$B$20</x:f>
        <x:v>#NAME?</x:v>
      </x:c>
      <x:c r="V45" s="32" t="e">
        <x:f>=U45/(C44)</x:f>
        <x:v>#NAME?</x:v>
      </x:c>
      <x:c r="W45" s="7" t="s">
        <x:v>1</x:v>
      </x:c>
      <x:c r="X45" s="7" t="s">
        <x:v>1</x:v>
      </x:c>
      <x:c r="Z45" s="90" t="s">
        <x:v>1</x:v>
      </x:c>
      <x:c r="AA45" s="90" t="s">
        <x:v>1</x:v>
      </x:c>
      <x:c r="AB45" s="92" t="s">
        <x:v>1</x:v>
      </x:c>
      <x:c r="AC45" s="92" t="s">
        <x:v>1</x:v>
      </x:c>
      <x:c r="AD45" s="92" t="s">
        <x:v>1</x:v>
      </x:c>
      <x:c r="AE45" s="92" t="s">
        <x:v>1</x:v>
      </x:c>
      <x:c r="AF45" s="90" t="s">
        <x:v>1</x:v>
      </x:c>
      <x:c r="AG45" s="92" t="s">
        <x:v>1</x:v>
      </x:c>
      <x:c r="AH45" s="92" t="s">
        <x:v>1</x:v>
      </x:c>
      <x:c r="AI45" s="90" t="s">
        <x:v>1</x:v>
      </x:c>
      <x:c r="AJ45" s="90" t="s">
        <x:v>1</x:v>
      </x:c>
    </x:row>
    <x:row r="46">
      <x:c r="A46" s="7" t="s">
        <x:v>103</x:v>
      </x:c>
      <x:c r="B46" s="7" t="s">
        <x:v>96</x:v>
      </x:c>
      <x:c r="C46" s="19">
        <x:v>7000</x:v>
      </x:c>
      <x:c r="D46" s="19" t="n">
        <x:f>=C46*0.6</x:f>
        <x:v>4200</x:v>
      </x:c>
      <x:c r="E46" s="20" t="s">
        <x:v>58</x:v>
      </x:c>
      <x:c r="F46" s="20" t="s">
        <x:v>58</x:v>
      </x:c>
      <x:c r="G46" s="7" t="s">
        <x:v>59</x:v>
      </x:c>
      <x:c r="H46" s="19" t="n">
        <x:f>=(D46)*(1)</x:f>
        <x:v>4200</x:v>
      </x:c>
      <x:c r="I46" s="21" t="e">
        <x:f>=ROUNDUP(C46*维护参数!$B$11/维护参数!$B$12*1000,0)</x:f>
        <x:v>#NAME?</x:v>
      </x:c>
      <x:c r="J46" s="7" t="s">
        <x:v>60</x:v>
      </x:c>
      <x:c r="K46" s="24" t="e">
        <x:f>=(MAX(维护参数!$B$4,ROUNDUP(I46/10000,0)))*(维护参数!$B$2)</x:f>
        <x:v>#NAME?</x:v>
      </x:c>
      <x:c r="L46" s="23" t="e">
        <x:f>=ROUNDUP(C46*维护参数!$B$16/维护参数!$B$15/1000,0)*1000</x:f>
        <x:v>#NAME?</x:v>
      </x:c>
      <x:c r="M46" s="23" t="e">
        <x:f>=ROUNDUP(C46*维护参数!$B$17/维护参数!$B$15/10,0)*10</x:f>
        <x:v>#NAME?</x:v>
      </x:c>
      <x:c r="N46" s="23" t="e">
        <x:f>=ROUNDUP(C46*维护参数!$B$18/维护参数!$B$15/10,0)*10</x:f>
        <x:v>#NAME?</x:v>
      </x:c>
      <x:c r="O46" s="23" t="e">
        <x:f>=ROUNDUP(C46*维护参数!$B$19/维护参数!$B$15/10,0)*10</x:f>
        <x:v>#NAME?</x:v>
      </x:c>
      <x:c r="P46" s="24" t="e">
        <x:f>=L46/1000*维护参数!$B$6+M46*维护参数!$B$7+N46*维护参数!$B$8+O46*维护参数!$B$9</x:f>
        <x:v>#NAME?</x:v>
      </x:c>
      <x:c r="Q46" s="24" t="e">
        <x:f>=SUM(K46,P46)</x:f>
        <x:v>#NAME?</x:v>
      </x:c>
      <x:c r="R46" s="32" t="e">
        <x:f>=Q46/H46</x:f>
        <x:v>#NAME?</x:v>
      </x:c>
      <x:c r="S46" s="24" t="e">
        <x:f>=H46-Q46</x:f>
        <x:v>#NAME?</x:v>
      </x:c>
      <x:c r="T46" s="32" t="e">
        <x:f>=S46/(C46)</x:f>
        <x:v>#NAME?</x:v>
      </x:c>
      <x:c r="U46" s="24" t="e">
        <x:f>=S46*维护参数!$B$20</x:f>
        <x:v>#NAME?</x:v>
      </x:c>
      <x:c r="V46" s="32" t="e">
        <x:f>=U46/(C46)</x:f>
        <x:v>#NAME?</x:v>
      </x:c>
      <x:c r="W46" s="7" t="s">
        <x:v>104</x:v>
      </x:c>
      <x:c r="X46" s="7" t="s">
        <x:v>105</x:v>
      </x:c>
      <x:c r="Z46" s="90" t="s">
        <x:v>1</x:v>
      </x:c>
      <x:c r="AA46" s="90" t="s">
        <x:v>1</x:v>
      </x:c>
      <x:c r="AB46" s="92" t="s">
        <x:v>1</x:v>
      </x:c>
      <x:c r="AC46" s="92" t="s">
        <x:v>1</x:v>
      </x:c>
      <x:c r="AD46" s="92" t="s">
        <x:v>1</x:v>
      </x:c>
      <x:c r="AE46" s="92" t="s">
        <x:v>1</x:v>
      </x:c>
      <x:c r="AF46" s="90" t="s">
        <x:v>1</x:v>
      </x:c>
      <x:c r="AG46" s="92" t="s">
        <x:v>1</x:v>
      </x:c>
      <x:c r="AH46" s="90" t="s">
        <x:v>1</x:v>
      </x:c>
      <x:c r="AI46" s="90" t="s">
        <x:v>1</x:v>
      </x:c>
      <x:c r="AJ46" s="90" t="s">
        <x:v>1</x:v>
      </x:c>
    </x:row>
    <x:row r="47">
      <x:c r="A47" s="7" t="s">
        <x:v>1</x:v>
      </x:c>
      <x:c r="B47" s="7" t="s">
        <x:v>1</x:v>
      </x:c>
      <x:c r="C47" s="28" t="s">
        <x:v>1</x:v>
      </x:c>
      <x:c r="D47" s="28" t="s">
        <x:v>1</x:v>
      </x:c>
      <x:c r="E47" s="28" t="s">
        <x:v>1</x:v>
      </x:c>
      <x:c r="F47" s="28" t="s">
        <x:v>1</x:v>
      </x:c>
      <x:c r="G47" s="7" t="s">
        <x:v>63</x:v>
      </x:c>
      <x:c r="H47" s="19" t="e">
        <x:f>=(C46)*(维护参数!$B$10)</x:f>
        <x:v>#NAME?</x:v>
      </x:c>
      <x:c r="I47" s="30" t="s">
        <x:v>1</x:v>
      </x:c>
      <x:c r="J47" s="7" t="s">
        <x:v>64</x:v>
      </x:c>
      <x:c r="K47" s="24" t="e">
        <x:f>=(MAX(维护参数!$B$5,ROUNDUP(I46/10000,0)))*(维护参数!$B$3)</x:f>
        <x:v>#NAME?</x:v>
      </x:c>
      <x:c r="L47" s="30" t="s">
        <x:v>1</x:v>
      </x:c>
      <x:c r="M47" s="30" t="s">
        <x:v>1</x:v>
      </x:c>
      <x:c r="N47" s="30" t="s">
        <x:v>1</x:v>
      </x:c>
      <x:c r="O47" s="30" t="s">
        <x:v>1</x:v>
      </x:c>
      <x:c r="P47" s="31" t="s">
        <x:v>1</x:v>
      </x:c>
      <x:c r="Q47" s="24" t="e">
        <x:f>=SUM(K47,P46)</x:f>
        <x:v>#NAME?</x:v>
      </x:c>
      <x:c r="R47" s="32" t="e">
        <x:f>=Q47/H47</x:f>
        <x:v>#NAME?</x:v>
      </x:c>
      <x:c r="S47" s="24" t="e">
        <x:f>=H47-Q47</x:f>
        <x:v>#NAME?</x:v>
      </x:c>
      <x:c r="T47" s="32" t="e">
        <x:f>=S47/(C46)</x:f>
        <x:v>#NAME?</x:v>
      </x:c>
      <x:c r="U47" s="24" t="e">
        <x:f>=S47*维护参数!$B$20</x:f>
        <x:v>#NAME?</x:v>
      </x:c>
      <x:c r="V47" s="32" t="e">
        <x:f>=U47/(C46)</x:f>
        <x:v>#NAME?</x:v>
      </x:c>
      <x:c r="W47" s="7" t="s">
        <x:v>1</x:v>
      </x:c>
      <x:c r="X47" s="7" t="s">
        <x:v>1</x:v>
      </x:c>
      <x:c r="Z47" s="90" t="s">
        <x:v>1</x:v>
      </x:c>
      <x:c r="AA47" s="90" t="s">
        <x:v>1</x:v>
      </x:c>
      <x:c r="AB47" s="92" t="s">
        <x:v>1</x:v>
      </x:c>
      <x:c r="AC47" s="92" t="s">
        <x:v>1</x:v>
      </x:c>
      <x:c r="AD47" s="92" t="s">
        <x:v>1</x:v>
      </x:c>
      <x:c r="AE47" s="92" t="s">
        <x:v>1</x:v>
      </x:c>
      <x:c r="AF47" s="90" t="s">
        <x:v>1</x:v>
      </x:c>
      <x:c r="AG47" s="92" t="s">
        <x:v>1</x:v>
      </x:c>
      <x:c r="AH47" s="92" t="s">
        <x:v>1</x:v>
      </x:c>
      <x:c r="AI47" s="90" t="s">
        <x:v>1</x:v>
      </x:c>
      <x:c r="AJ47" s="90" t="s">
        <x:v>1</x:v>
      </x:c>
    </x:row>
    <x:row r="48">
      <x:c r="A48" s="7" t="s">
        <x:v>106</x:v>
      </x:c>
      <x:c r="B48" s="7" t="s">
        <x:v>96</x:v>
      </x:c>
      <x:c r="C48" s="19">
        <x:v>5500</x:v>
      </x:c>
      <x:c r="D48" s="19" t="n">
        <x:f>=C48*0.6</x:f>
        <x:v>3300</x:v>
      </x:c>
      <x:c r="E48" s="20" t="s">
        <x:v>58</x:v>
      </x:c>
      <x:c r="F48" s="20" t="s">
        <x:v>58</x:v>
      </x:c>
      <x:c r="G48" s="7" t="s">
        <x:v>59</x:v>
      </x:c>
      <x:c r="H48" s="19" t="n">
        <x:f>=(D48)*(1)</x:f>
        <x:v>3300</x:v>
      </x:c>
      <x:c r="I48" s="21" t="e">
        <x:f>=ROUNDUP(C48*维护参数!$B$11/维护参数!$B$12*1000,0)</x:f>
        <x:v>#NAME?</x:v>
      </x:c>
      <x:c r="J48" s="7" t="s">
        <x:v>60</x:v>
      </x:c>
      <x:c r="K48" s="24" t="e">
        <x:f>=(MAX(维护参数!$B$4,ROUNDUP(I48/10000,0)))*(维护参数!$B$2)</x:f>
        <x:v>#NAME?</x:v>
      </x:c>
      <x:c r="L48" s="23" t="e">
        <x:f>=ROUNDUP(C48*维护参数!$B$16/维护参数!$B$15/1000,0)*1000</x:f>
        <x:v>#NAME?</x:v>
      </x:c>
      <x:c r="M48" s="23" t="e">
        <x:f>=ROUNDUP(C48*维护参数!$B$17/维护参数!$B$15/10,0)*10</x:f>
        <x:v>#NAME?</x:v>
      </x:c>
      <x:c r="N48" s="23" t="e">
        <x:f>=ROUNDUP(C48*维护参数!$B$18/维护参数!$B$15/10,0)*10</x:f>
        <x:v>#NAME?</x:v>
      </x:c>
      <x:c r="O48" s="23" t="e">
        <x:f>=ROUNDUP(C48*维护参数!$B$19/维护参数!$B$15/10,0)*10</x:f>
        <x:v>#NAME?</x:v>
      </x:c>
      <x:c r="P48" s="24" t="e">
        <x:f>=L48/1000*维护参数!$B$6+M48*维护参数!$B$7+N48*维护参数!$B$8+O48*维护参数!$B$9</x:f>
        <x:v>#NAME?</x:v>
      </x:c>
      <x:c r="Q48" s="24" t="e">
        <x:f>=SUM(K48,P48)</x:f>
        <x:v>#NAME?</x:v>
      </x:c>
      <x:c r="R48" s="32" t="e">
        <x:f>=Q48/H48</x:f>
        <x:v>#NAME?</x:v>
      </x:c>
      <x:c r="S48" s="24" t="e">
        <x:f>=H48-Q48</x:f>
        <x:v>#NAME?</x:v>
      </x:c>
      <x:c r="T48" s="32" t="e">
        <x:f>=S48/(C48)</x:f>
        <x:v>#NAME?</x:v>
      </x:c>
      <x:c r="U48" s="24" t="e">
        <x:f>=S48*维护参数!$B$20</x:f>
        <x:v>#NAME?</x:v>
      </x:c>
      <x:c r="V48" s="32" t="e">
        <x:f>=U48/(C48)</x:f>
        <x:v>#NAME?</x:v>
      </x:c>
      <x:c r="W48" s="7" t="s">
        <x:v>107</x:v>
      </x:c>
      <x:c r="X48" s="7" t="s">
        <x:v>108</x:v>
      </x:c>
      <x:c r="Z48" s="90" t="s">
        <x:v>1</x:v>
      </x:c>
      <x:c r="AA48" s="90" t="s">
        <x:v>1</x:v>
      </x:c>
      <x:c r="AB48" s="92" t="s">
        <x:v>1</x:v>
      </x:c>
      <x:c r="AC48" s="92" t="s">
        <x:v>1</x:v>
      </x:c>
      <x:c r="AD48" s="92" t="s">
        <x:v>1</x:v>
      </x:c>
      <x:c r="AE48" s="92" t="s">
        <x:v>1</x:v>
      </x:c>
      <x:c r="AF48" s="90" t="s">
        <x:v>1</x:v>
      </x:c>
      <x:c r="AG48" s="92" t="s">
        <x:v>1</x:v>
      </x:c>
      <x:c r="AH48" s="90" t="s">
        <x:v>1</x:v>
      </x:c>
      <x:c r="AI48" s="90" t="s">
        <x:v>1</x:v>
      </x:c>
      <x:c r="AJ48" s="90" t="s">
        <x:v>1</x:v>
      </x:c>
    </x:row>
    <x:row r="49">
      <x:c r="A49" s="7" t="s">
        <x:v>1</x:v>
      </x:c>
      <x:c r="B49" s="7" t="s">
        <x:v>1</x:v>
      </x:c>
      <x:c r="C49" s="28" t="s">
        <x:v>1</x:v>
      </x:c>
      <x:c r="D49" s="28" t="s">
        <x:v>1</x:v>
      </x:c>
      <x:c r="E49" s="28" t="s">
        <x:v>1</x:v>
      </x:c>
      <x:c r="F49" s="28" t="s">
        <x:v>1</x:v>
      </x:c>
      <x:c r="G49" s="7" t="s">
        <x:v>63</x:v>
      </x:c>
      <x:c r="H49" s="19" t="e">
        <x:f>=(C48)*(维护参数!$B$10)</x:f>
        <x:v>#NAME?</x:v>
      </x:c>
      <x:c r="I49" s="30" t="s">
        <x:v>1</x:v>
      </x:c>
      <x:c r="J49" s="7" t="s">
        <x:v>64</x:v>
      </x:c>
      <x:c r="K49" s="24" t="e">
        <x:f>=(MAX(维护参数!$B$5,ROUNDUP(I48/10000,0)))*(维护参数!$B$3)</x:f>
        <x:v>#NAME?</x:v>
      </x:c>
      <x:c r="L49" s="44" t="s">
        <x:v>1</x:v>
      </x:c>
      <x:c r="M49" s="44" t="s">
        <x:v>1</x:v>
      </x:c>
      <x:c r="N49" s="44" t="s">
        <x:v>1</x:v>
      </x:c>
      <x:c r="O49" s="44" t="s">
        <x:v>1</x:v>
      </x:c>
      <x:c r="P49" s="45" t="s">
        <x:v>1</x:v>
      </x:c>
      <x:c r="Q49" s="24" t="e">
        <x:f>=SUM(K49,P48)</x:f>
        <x:v>#NAME?</x:v>
      </x:c>
      <x:c r="R49" s="32" t="e">
        <x:f>=Q49/H49</x:f>
        <x:v>#NAME?</x:v>
      </x:c>
      <x:c r="S49" s="24" t="e">
        <x:f>=H49-Q49</x:f>
        <x:v>#NAME?</x:v>
      </x:c>
      <x:c r="T49" s="32" t="e">
        <x:f>=S49/(C48)</x:f>
        <x:v>#NAME?</x:v>
      </x:c>
      <x:c r="U49" s="24" t="e">
        <x:f>=S49*维护参数!$B$20</x:f>
        <x:v>#NAME?</x:v>
      </x:c>
      <x:c r="V49" s="32" t="e">
        <x:f>=U49/(C48)</x:f>
        <x:v>#NAME?</x:v>
      </x:c>
      <x:c r="W49" s="7" t="s">
        <x:v>1</x:v>
      </x:c>
      <x:c r="X49" s="6" t="s">
        <x:v>1</x:v>
      </x:c>
      <x:c r="Z49" s="90" t="s">
        <x:v>1</x:v>
      </x:c>
      <x:c r="AA49" s="90" t="s">
        <x:v>1</x:v>
      </x:c>
      <x:c r="AB49" s="92" t="s">
        <x:v>1</x:v>
      </x:c>
      <x:c r="AC49" s="92" t="s">
        <x:v>1</x:v>
      </x:c>
      <x:c r="AD49" s="92" t="s">
        <x:v>1</x:v>
      </x:c>
      <x:c r="AE49" s="92" t="s">
        <x:v>1</x:v>
      </x:c>
      <x:c r="AF49" s="90" t="s">
        <x:v>1</x:v>
      </x:c>
      <x:c r="AG49" s="92" t="s">
        <x:v>1</x:v>
      </x:c>
      <x:c r="AH49" s="92" t="s">
        <x:v>1</x:v>
      </x:c>
      <x:c r="AI49" s="90" t="s">
        <x:v>1</x:v>
      </x:c>
      <x:c r="AJ49" s="90" t="s">
        <x:v>1</x:v>
      </x:c>
    </x:row>
    <x:row r="50">
      <x:c r="A50" s="7" t="s">
        <x:v>109</x:v>
      </x:c>
      <x:c r="B50" s="7" t="s">
        <x:v>72</x:v>
      </x:c>
      <x:c r="C50" s="19">
        <x:v>5000</x:v>
      </x:c>
      <x:c r="D50" s="19" t="n">
        <x:f>=C50*0.6</x:f>
        <x:v>3000</x:v>
      </x:c>
      <x:c r="E50" s="20" t="s">
        <x:v>58</x:v>
      </x:c>
      <x:c r="F50" s="20" t="s">
        <x:v>58</x:v>
      </x:c>
      <x:c r="G50" s="7" t="s">
        <x:v>59</x:v>
      </x:c>
      <x:c r="H50" s="19" t="n">
        <x:f>=(D50)*(1)</x:f>
        <x:v>3000</x:v>
      </x:c>
      <x:c r="I50" s="21" t="e">
        <x:f>=ROUNDUP(C50*维护参数!$B$11/维护参数!$B$12*1000,0)</x:f>
        <x:v>#NAME?</x:v>
      </x:c>
      <x:c r="J50" s="7" t="s">
        <x:v>60</x:v>
      </x:c>
      <x:c r="K50" s="24" t="e">
        <x:f>=(MAX(维护参数!$B$4,ROUNDUP(I50/10000,0)))*(维护参数!$B$2)</x:f>
        <x:v>#NAME?</x:v>
      </x:c>
      <x:c r="L50" s="23" t="e">
        <x:f>=ROUNDUP(C50*维护参数!$B$16/维护参数!$B$15/1000,0)*1000</x:f>
        <x:v>#NAME?</x:v>
      </x:c>
      <x:c r="M50" s="23" t="e">
        <x:f>=ROUNDUP(C50*维护参数!$B$17/维护参数!$B$15/10,0)*10</x:f>
        <x:v>#NAME?</x:v>
      </x:c>
      <x:c r="N50" s="23" t="e">
        <x:f>=ROUNDUP(C50*维护参数!$B$18/维护参数!$B$15/10,0)*10</x:f>
        <x:v>#NAME?</x:v>
      </x:c>
      <x:c r="O50" s="23" t="e">
        <x:f>=ROUNDUP(C50*维护参数!$B$19/维护参数!$B$15/10,0)*10</x:f>
        <x:v>#NAME?</x:v>
      </x:c>
      <x:c r="P50" s="24" t="e">
        <x:f>=L50/1000*维护参数!$B$6+M50*维护参数!$B$7+N50*维护参数!$B$8+O50*维护参数!$B$9</x:f>
        <x:v>#NAME?</x:v>
      </x:c>
      <x:c r="Q50" s="24" t="e">
        <x:f>=SUM(K50,P50)</x:f>
        <x:v>#NAME?</x:v>
      </x:c>
      <x:c r="R50" s="32" t="e">
        <x:f>=Q50/H50</x:f>
        <x:v>#NAME?</x:v>
      </x:c>
      <x:c r="S50" s="24" t="e">
        <x:f>=H50-Q50</x:f>
        <x:v>#NAME?</x:v>
      </x:c>
      <x:c r="T50" s="32" t="e">
        <x:f>=S50/(C50)</x:f>
        <x:v>#NAME?</x:v>
      </x:c>
      <x:c r="U50" s="24" t="e">
        <x:f>=S50*维护参数!$B$20</x:f>
        <x:v>#NAME?</x:v>
      </x:c>
      <x:c r="V50" s="32" t="e">
        <x:f>=U50/(C50)</x:f>
        <x:v>#NAME?</x:v>
      </x:c>
      <x:c r="W50" s="7" t="s">
        <x:v>107</x:v>
      </x:c>
      <x:c r="X50" s="7" t="s">
        <x:v>110</x:v>
      </x:c>
      <x:c r="Z50" s="90" t="s">
        <x:v>1</x:v>
      </x:c>
      <x:c r="AA50" s="90" t="s">
        <x:v>1</x:v>
      </x:c>
      <x:c r="AB50" s="92" t="s">
        <x:v>1</x:v>
      </x:c>
      <x:c r="AC50" s="92" t="s">
        <x:v>1</x:v>
      </x:c>
      <x:c r="AD50" s="92" t="s">
        <x:v>1</x:v>
      </x:c>
      <x:c r="AE50" s="92" t="s">
        <x:v>1</x:v>
      </x:c>
      <x:c r="AF50" s="90" t="s">
        <x:v>1</x:v>
      </x:c>
      <x:c r="AG50" s="92" t="s">
        <x:v>1</x:v>
      </x:c>
      <x:c r="AH50" s="90" t="s">
        <x:v>1</x:v>
      </x:c>
      <x:c r="AI50" s="90" t="s">
        <x:v>1</x:v>
      </x:c>
      <x:c r="AJ50" s="90" t="s">
        <x:v>1</x:v>
      </x:c>
    </x:row>
    <x:row r="51">
      <x:c r="A51" s="7" t="s">
        <x:v>1</x:v>
      </x:c>
      <x:c r="B51" s="7" t="s">
        <x:v>1</x:v>
      </x:c>
      <x:c r="C51" s="28" t="s">
        <x:v>1</x:v>
      </x:c>
      <x:c r="D51" s="28" t="s">
        <x:v>1</x:v>
      </x:c>
      <x:c r="E51" s="28" t="s">
        <x:v>1</x:v>
      </x:c>
      <x:c r="F51" s="28" t="s">
        <x:v>1</x:v>
      </x:c>
      <x:c r="G51" s="7" t="s">
        <x:v>63</x:v>
      </x:c>
      <x:c r="H51" s="19" t="e">
        <x:f>=(C50)*(维护参数!$B$10)</x:f>
        <x:v>#NAME?</x:v>
      </x:c>
      <x:c r="I51" s="30" t="s">
        <x:v>1</x:v>
      </x:c>
      <x:c r="J51" s="7" t="s">
        <x:v>64</x:v>
      </x:c>
      <x:c r="K51" s="24" t="e">
        <x:f>=(MAX(维护参数!$B$5,ROUNDUP(I50/10000,0)))*(维护参数!$B$3)</x:f>
        <x:v>#NAME?</x:v>
      </x:c>
      <x:c r="L51" s="30" t="s">
        <x:v>1</x:v>
      </x:c>
      <x:c r="M51" s="30" t="s">
        <x:v>1</x:v>
      </x:c>
      <x:c r="N51" s="30" t="s">
        <x:v>1</x:v>
      </x:c>
      <x:c r="O51" s="30" t="s">
        <x:v>1</x:v>
      </x:c>
      <x:c r="P51" s="31" t="s">
        <x:v>1</x:v>
      </x:c>
      <x:c r="Q51" s="24" t="e">
        <x:f>=SUM(K51,P50)</x:f>
        <x:v>#NAME?</x:v>
      </x:c>
      <x:c r="R51" s="32" t="e">
        <x:f>=Q51/H51</x:f>
        <x:v>#NAME?</x:v>
      </x:c>
      <x:c r="S51" s="24" t="e">
        <x:f>=H51-Q51</x:f>
        <x:v>#NAME?</x:v>
      </x:c>
      <x:c r="T51" s="32" t="e">
        <x:f>=S51/(C50)</x:f>
        <x:v>#NAME?</x:v>
      </x:c>
      <x:c r="U51" s="24" t="e">
        <x:f>=S51*维护参数!$B$20</x:f>
        <x:v>#NAME?</x:v>
      </x:c>
      <x:c r="V51" s="32" t="e">
        <x:f>=U51/(C50)</x:f>
        <x:v>#NAME?</x:v>
      </x:c>
      <x:c r="W51" s="7" t="s">
        <x:v>1</x:v>
      </x:c>
      <x:c r="X51" s="7" t="s">
        <x:v>1</x:v>
      </x:c>
      <x:c r="Z51" s="90" t="s">
        <x:v>1</x:v>
      </x:c>
      <x:c r="AA51" s="90" t="s">
        <x:v>1</x:v>
      </x:c>
      <x:c r="AB51" s="92" t="s">
        <x:v>1</x:v>
      </x:c>
      <x:c r="AC51" s="92" t="s">
        <x:v>1</x:v>
      </x:c>
      <x:c r="AD51" s="92" t="s">
        <x:v>1</x:v>
      </x:c>
      <x:c r="AE51" s="92" t="s">
        <x:v>1</x:v>
      </x:c>
      <x:c r="AF51" s="90" t="s">
        <x:v>1</x:v>
      </x:c>
      <x:c r="AG51" s="92" t="s">
        <x:v>1</x:v>
      </x:c>
      <x:c r="AH51" s="92" t="s">
        <x:v>1</x:v>
      </x:c>
      <x:c r="AI51" s="90" t="s">
        <x:v>1</x:v>
      </x:c>
      <x:c r="AJ51" s="90" t="s">
        <x:v>1</x:v>
      </x:c>
    </x:row>
    <x:row r="52">
      <x:c r="A52" s="7" t="s">
        <x:v>111</x:v>
      </x:c>
      <x:c r="B52" s="7" t="s">
        <x:v>72</x:v>
      </x:c>
      <x:c r="C52" s="19">
        <x:v>5000</x:v>
      </x:c>
      <x:c r="D52" s="19" t="n">
        <x:f>=C52*0.6</x:f>
        <x:v>3000</x:v>
      </x:c>
      <x:c r="E52" s="20" t="s">
        <x:v>58</x:v>
      </x:c>
      <x:c r="F52" s="20" t="s">
        <x:v>58</x:v>
      </x:c>
      <x:c r="G52" s="7" t="s">
        <x:v>59</x:v>
      </x:c>
      <x:c r="H52" s="19" t="n">
        <x:f>=(D52)*(1)</x:f>
        <x:v>3000</x:v>
      </x:c>
      <x:c r="I52" s="21" t="e">
        <x:f>=ROUNDUP(C52*维护参数!$B$11/维护参数!$B$12*1000,0)</x:f>
        <x:v>#NAME?</x:v>
      </x:c>
      <x:c r="J52" s="7" t="s">
        <x:v>60</x:v>
      </x:c>
      <x:c r="K52" s="24" t="e">
        <x:f>=(MAX(维护参数!$B$4,ROUNDUP(I52/10000,0)))*(维护参数!$B$2)</x:f>
        <x:v>#NAME?</x:v>
      </x:c>
      <x:c r="L52" s="23" t="e">
        <x:f>=ROUNDUP(C52*维护参数!$B$16/维护参数!$B$15/1000,0)*1000</x:f>
        <x:v>#NAME?</x:v>
      </x:c>
      <x:c r="M52" s="23" t="e">
        <x:f>=ROUNDUP(C52*维护参数!$B$17/维护参数!$B$15/10,0)*10</x:f>
        <x:v>#NAME?</x:v>
      </x:c>
      <x:c r="N52" s="23" t="e">
        <x:f>=ROUNDUP(C52*维护参数!$B$18/维护参数!$B$15/10,0)*10</x:f>
        <x:v>#NAME?</x:v>
      </x:c>
      <x:c r="O52" s="23" t="e">
        <x:f>=ROUNDUP(C52*维护参数!$B$19/维护参数!$B$15/10,0)*10</x:f>
        <x:v>#NAME?</x:v>
      </x:c>
      <x:c r="P52" s="24" t="e">
        <x:f>=L52/1000*维护参数!$B$6+M52*维护参数!$B$7+N52*维护参数!$B$8+O52*维护参数!$B$9</x:f>
        <x:v>#NAME?</x:v>
      </x:c>
      <x:c r="Q52" s="24" t="e">
        <x:f>=SUM(K52,P52)</x:f>
        <x:v>#NAME?</x:v>
      </x:c>
      <x:c r="R52" s="32" t="e">
        <x:f>=Q52/H52</x:f>
        <x:v>#NAME?</x:v>
      </x:c>
      <x:c r="S52" s="24" t="e">
        <x:f>=H52-Q52</x:f>
        <x:v>#NAME?</x:v>
      </x:c>
      <x:c r="T52" s="32" t="e">
        <x:f>=S52/(C52)</x:f>
        <x:v>#NAME?</x:v>
      </x:c>
      <x:c r="U52" s="24" t="e">
        <x:f>=S52*维护参数!$B$20</x:f>
        <x:v>#NAME?</x:v>
      </x:c>
      <x:c r="V52" s="32" t="e">
        <x:f>=U52/(C52)</x:f>
        <x:v>#NAME?</x:v>
      </x:c>
      <x:c r="W52" s="7" t="s">
        <x:v>107</x:v>
      </x:c>
      <x:c r="X52" s="7" t="s">
        <x:v>112</x:v>
      </x:c>
      <x:c r="Z52" s="90" t="s">
        <x:v>1</x:v>
      </x:c>
      <x:c r="AA52" s="90" t="s">
        <x:v>1</x:v>
      </x:c>
      <x:c r="AB52" s="92" t="s">
        <x:v>1</x:v>
      </x:c>
      <x:c r="AC52" s="92" t="s">
        <x:v>1</x:v>
      </x:c>
      <x:c r="AD52" s="92" t="s">
        <x:v>1</x:v>
      </x:c>
      <x:c r="AE52" s="92" t="s">
        <x:v>1</x:v>
      </x:c>
      <x:c r="AF52" s="90" t="s">
        <x:v>1</x:v>
      </x:c>
      <x:c r="AG52" s="92" t="s">
        <x:v>1</x:v>
      </x:c>
      <x:c r="AH52" s="90" t="s">
        <x:v>1</x:v>
      </x:c>
      <x:c r="AI52" s="90" t="s">
        <x:v>1</x:v>
      </x:c>
      <x:c r="AJ52" s="90" t="s">
        <x:v>1</x:v>
      </x:c>
    </x:row>
    <x:row r="53">
      <x:c r="A53" s="7" t="s">
        <x:v>1</x:v>
      </x:c>
      <x:c r="B53" s="7" t="s">
        <x:v>1</x:v>
      </x:c>
      <x:c r="C53" s="28" t="s">
        <x:v>1</x:v>
      </x:c>
      <x:c r="D53" s="28" t="s">
        <x:v>1</x:v>
      </x:c>
      <x:c r="E53" s="28" t="s">
        <x:v>1</x:v>
      </x:c>
      <x:c r="F53" s="28" t="s">
        <x:v>1</x:v>
      </x:c>
      <x:c r="G53" s="7" t="s">
        <x:v>63</x:v>
      </x:c>
      <x:c r="H53" s="19" t="e">
        <x:f>=(C52)*(维护参数!$B$10)</x:f>
        <x:v>#NAME?</x:v>
      </x:c>
      <x:c r="I53" s="30" t="s">
        <x:v>1</x:v>
      </x:c>
      <x:c r="J53" s="7" t="s">
        <x:v>64</x:v>
      </x:c>
      <x:c r="K53" s="24" t="e">
        <x:f>=(MAX(维护参数!$B$5,ROUNDUP(I52/10000,0)))*(维护参数!$B$3)</x:f>
        <x:v>#NAME?</x:v>
      </x:c>
      <x:c r="L53" s="30" t="s">
        <x:v>1</x:v>
      </x:c>
      <x:c r="M53" s="30" t="s">
        <x:v>1</x:v>
      </x:c>
      <x:c r="N53" s="30" t="s">
        <x:v>1</x:v>
      </x:c>
      <x:c r="O53" s="30" t="s">
        <x:v>1</x:v>
      </x:c>
      <x:c r="P53" s="31" t="s">
        <x:v>1</x:v>
      </x:c>
      <x:c r="Q53" s="24" t="e">
        <x:f>=SUM(K53,P52)</x:f>
        <x:v>#NAME?</x:v>
      </x:c>
      <x:c r="R53" s="32" t="e">
        <x:f>=Q53/H53</x:f>
        <x:v>#NAME?</x:v>
      </x:c>
      <x:c r="S53" s="24" t="e">
        <x:f>=H53-Q53</x:f>
        <x:v>#NAME?</x:v>
      </x:c>
      <x:c r="T53" s="32" t="e">
        <x:f>=S53/(C52)</x:f>
        <x:v>#NAME?</x:v>
      </x:c>
      <x:c r="U53" s="24" t="e">
        <x:f>=S53*维护参数!$B$20</x:f>
        <x:v>#NAME?</x:v>
      </x:c>
      <x:c r="V53" s="32" t="e">
        <x:f>=U53/(C52)</x:f>
        <x:v>#NAME?</x:v>
      </x:c>
      <x:c r="W53" s="7" t="s">
        <x:v>1</x:v>
      </x:c>
      <x:c r="X53" s="7" t="s">
        <x:v>1</x:v>
      </x:c>
      <x:c r="Z53" s="90" t="s">
        <x:v>1</x:v>
      </x:c>
      <x:c r="AA53" s="90" t="s">
        <x:v>1</x:v>
      </x:c>
      <x:c r="AB53" s="92" t="s">
        <x:v>1</x:v>
      </x:c>
      <x:c r="AC53" s="92" t="s">
        <x:v>1</x:v>
      </x:c>
      <x:c r="AD53" s="92" t="s">
        <x:v>1</x:v>
      </x:c>
      <x:c r="AE53" s="92" t="s">
        <x:v>1</x:v>
      </x:c>
      <x:c r="AF53" s="90" t="s">
        <x:v>1</x:v>
      </x:c>
      <x:c r="AG53" s="92" t="s">
        <x:v>1</x:v>
      </x:c>
      <x:c r="AH53" s="92" t="s">
        <x:v>1</x:v>
      </x:c>
      <x:c r="AI53" s="90" t="s">
        <x:v>1</x:v>
      </x:c>
      <x:c r="AJ53" s="90" t="s">
        <x:v>1</x:v>
      </x:c>
    </x:row>
    <x:row r="54">
      <x:c r="A54" s="7" t="s">
        <x:v>113</x:v>
      </x:c>
      <x:c r="B54" s="7" t="s">
        <x:v>72</x:v>
      </x:c>
      <x:c r="C54" s="19">
        <x:v>5000</x:v>
      </x:c>
      <x:c r="D54" s="19" t="n">
        <x:f>=C54*0.6</x:f>
        <x:v>3000</x:v>
      </x:c>
      <x:c r="E54" s="20" t="s">
        <x:v>58</x:v>
      </x:c>
      <x:c r="F54" s="20" t="s">
        <x:v>58</x:v>
      </x:c>
      <x:c r="G54" s="7" t="s">
        <x:v>59</x:v>
      </x:c>
      <x:c r="H54" s="19" t="n">
        <x:f>=(D54)*(1)</x:f>
        <x:v>3000</x:v>
      </x:c>
      <x:c r="I54" s="21" t="e">
        <x:f>=ROUNDUP(C54*维护参数!$B$11/维护参数!$B$12*1000,0)</x:f>
        <x:v>#NAME?</x:v>
      </x:c>
      <x:c r="J54" s="7" t="s">
        <x:v>60</x:v>
      </x:c>
      <x:c r="K54" s="24" t="e">
        <x:f>=(MAX(维护参数!$B$4,ROUNDUP(I54/10000,0)))*(维护参数!$B$2)</x:f>
        <x:v>#NAME?</x:v>
      </x:c>
      <x:c r="L54" s="23" t="e">
        <x:f>=ROUNDUP(C54*维护参数!$B$16/维护参数!$B$15/1000,0)*1000</x:f>
        <x:v>#NAME?</x:v>
      </x:c>
      <x:c r="M54" s="23" t="e">
        <x:f>=ROUNDUP(C54*维护参数!$B$17/维护参数!$B$15/10,0)*10</x:f>
        <x:v>#NAME?</x:v>
      </x:c>
      <x:c r="N54" s="23" t="e">
        <x:f>=ROUNDUP(C54*维护参数!$B$18/维护参数!$B$15/10,0)*10</x:f>
        <x:v>#NAME?</x:v>
      </x:c>
      <x:c r="O54" s="23" t="e">
        <x:f>=ROUNDUP(C54*维护参数!$B$19/维护参数!$B$15/10,0)*10</x:f>
        <x:v>#NAME?</x:v>
      </x:c>
      <x:c r="P54" s="24" t="e">
        <x:f>=L54/1000*维护参数!$B$6+M54*维护参数!$B$7+N54*维护参数!$B$8+O54*维护参数!$B$9</x:f>
        <x:v>#NAME?</x:v>
      </x:c>
      <x:c r="Q54" s="24" t="e">
        <x:f>=SUM(K54,P54)</x:f>
        <x:v>#NAME?</x:v>
      </x:c>
      <x:c r="R54" s="32" t="e">
        <x:f>=Q54/H54</x:f>
        <x:v>#NAME?</x:v>
      </x:c>
      <x:c r="S54" s="24" t="e">
        <x:f>=H54-Q54</x:f>
        <x:v>#NAME?</x:v>
      </x:c>
      <x:c r="T54" s="32" t="e">
        <x:f>=S54/(C54)</x:f>
        <x:v>#NAME?</x:v>
      </x:c>
      <x:c r="U54" s="24" t="e">
        <x:f>=S54*维护参数!$B$20</x:f>
        <x:v>#NAME?</x:v>
      </x:c>
      <x:c r="V54" s="32" t="e">
        <x:f>=U54/(C54)</x:f>
        <x:v>#NAME?</x:v>
      </x:c>
      <x:c r="W54" s="7" t="s">
        <x:v>107</x:v>
      </x:c>
      <x:c r="X54" s="7" t="s">
        <x:v>114</x:v>
      </x:c>
      <x:c r="Z54" s="90" t="s">
        <x:v>1</x:v>
      </x:c>
      <x:c r="AA54" s="90" t="s">
        <x:v>1</x:v>
      </x:c>
      <x:c r="AB54" s="92" t="s">
        <x:v>1</x:v>
      </x:c>
      <x:c r="AC54" s="92" t="s">
        <x:v>1</x:v>
      </x:c>
      <x:c r="AD54" s="92" t="s">
        <x:v>1</x:v>
      </x:c>
      <x:c r="AE54" s="92" t="s">
        <x:v>1</x:v>
      </x:c>
      <x:c r="AF54" s="90" t="s">
        <x:v>1</x:v>
      </x:c>
      <x:c r="AG54" s="92" t="s">
        <x:v>1</x:v>
      </x:c>
      <x:c r="AH54" s="90" t="s">
        <x:v>1</x:v>
      </x:c>
      <x:c r="AI54" s="90" t="s">
        <x:v>1</x:v>
      </x:c>
      <x:c r="AJ54" s="90" t="s">
        <x:v>1</x:v>
      </x:c>
    </x:row>
    <x:row r="55">
      <x:c r="A55" s="7" t="s">
        <x:v>1</x:v>
      </x:c>
      <x:c r="B55" s="7" t="s">
        <x:v>1</x:v>
      </x:c>
      <x:c r="C55" s="28" t="s">
        <x:v>1</x:v>
      </x:c>
      <x:c r="D55" s="28" t="s">
        <x:v>1</x:v>
      </x:c>
      <x:c r="E55" s="28" t="s">
        <x:v>1</x:v>
      </x:c>
      <x:c r="F55" s="28" t="s">
        <x:v>1</x:v>
      </x:c>
      <x:c r="G55" s="7" t="s">
        <x:v>63</x:v>
      </x:c>
      <x:c r="H55" s="19" t="e">
        <x:f>=(C54)*(维护参数!$B$10)</x:f>
        <x:v>#NAME?</x:v>
      </x:c>
      <x:c r="I55" s="30" t="s">
        <x:v>1</x:v>
      </x:c>
      <x:c r="J55" s="7" t="s">
        <x:v>64</x:v>
      </x:c>
      <x:c r="K55" s="24" t="e">
        <x:f>=(MAX(维护参数!$B$5,ROUNDUP(I54/10000,0)))*(维护参数!$B$3)</x:f>
        <x:v>#NAME?</x:v>
      </x:c>
      <x:c r="L55" s="30" t="s">
        <x:v>1</x:v>
      </x:c>
      <x:c r="M55" s="30" t="s">
        <x:v>1</x:v>
      </x:c>
      <x:c r="N55" s="30" t="s">
        <x:v>1</x:v>
      </x:c>
      <x:c r="O55" s="30" t="s">
        <x:v>1</x:v>
      </x:c>
      <x:c r="P55" s="31" t="s">
        <x:v>1</x:v>
      </x:c>
      <x:c r="Q55" s="24" t="e">
        <x:f>=SUM(K55,P54)</x:f>
        <x:v>#NAME?</x:v>
      </x:c>
      <x:c r="R55" s="32" t="e">
        <x:f>=Q55/H55</x:f>
        <x:v>#NAME?</x:v>
      </x:c>
      <x:c r="S55" s="24" t="e">
        <x:f>=H55-Q55</x:f>
        <x:v>#NAME?</x:v>
      </x:c>
      <x:c r="T55" s="32" t="e">
        <x:f>=S55/(C54)</x:f>
        <x:v>#NAME?</x:v>
      </x:c>
      <x:c r="U55" s="24" t="e">
        <x:f>=S55*维护参数!$B$20</x:f>
        <x:v>#NAME?</x:v>
      </x:c>
      <x:c r="V55" s="32" t="e">
        <x:f>=U55/(C54)</x:f>
        <x:v>#NAME?</x:v>
      </x:c>
      <x:c r="W55" s="7" t="s">
        <x:v>1</x:v>
      </x:c>
      <x:c r="X55" s="7" t="s">
        <x:v>1</x:v>
      </x:c>
      <x:c r="Z55" s="90" t="s">
        <x:v>1</x:v>
      </x:c>
      <x:c r="AA55" s="90" t="s">
        <x:v>1</x:v>
      </x:c>
      <x:c r="AB55" s="92" t="s">
        <x:v>1</x:v>
      </x:c>
      <x:c r="AC55" s="92" t="s">
        <x:v>1</x:v>
      </x:c>
      <x:c r="AD55" s="92" t="s">
        <x:v>1</x:v>
      </x:c>
      <x:c r="AE55" s="92" t="s">
        <x:v>1</x:v>
      </x:c>
      <x:c r="AF55" s="90" t="s">
        <x:v>1</x:v>
      </x:c>
      <x:c r="AG55" s="92" t="s">
        <x:v>1</x:v>
      </x:c>
      <x:c r="AH55" s="92" t="s">
        <x:v>1</x:v>
      </x:c>
      <x:c r="AI55" s="90" t="s">
        <x:v>1</x:v>
      </x:c>
      <x:c r="AJ55" s="90" t="s">
        <x:v>1</x:v>
      </x:c>
    </x:row>
    <x:row r="56">
      <x:c r="A56" s="7" t="s">
        <x:v>115</x:v>
      </x:c>
      <x:c r="B56" s="7" t="s">
        <x:v>72</x:v>
      </x:c>
      <x:c r="C56" s="19">
        <x:v>7800</x:v>
      </x:c>
      <x:c r="D56" s="19" t="n">
        <x:f>=C56*0.6</x:f>
        <x:v>4680</x:v>
      </x:c>
      <x:c r="E56" s="20" t="s">
        <x:v>58</x:v>
      </x:c>
      <x:c r="F56" s="20" t="s">
        <x:v>58</x:v>
      </x:c>
      <x:c r="G56" s="7" t="s">
        <x:v>59</x:v>
      </x:c>
      <x:c r="H56" s="19" t="n">
        <x:f>=(D56)*(1)</x:f>
        <x:v>4680</x:v>
      </x:c>
      <x:c r="I56" s="21" t="e">
        <x:f>=ROUNDUP(C56*维护参数!$B$11/维护参数!$B$12*1000,0)</x:f>
        <x:v>#NAME?</x:v>
      </x:c>
      <x:c r="J56" s="7" t="s">
        <x:v>60</x:v>
      </x:c>
      <x:c r="K56" s="24" t="e">
        <x:f>=(MAX(维护参数!$B$4,ROUNDUP(I56/10000,0)))*(维护参数!$B$2)</x:f>
        <x:v>#NAME?</x:v>
      </x:c>
      <x:c r="L56" s="23" t="e">
        <x:f>=ROUNDUP(C56*维护参数!$B$16/维护参数!$B$15/1000,0)*1000</x:f>
        <x:v>#NAME?</x:v>
      </x:c>
      <x:c r="M56" s="23" t="e">
        <x:f>=ROUNDUP(C56*维护参数!$B$17/维护参数!$B$15/10,0)*10</x:f>
        <x:v>#NAME?</x:v>
      </x:c>
      <x:c r="N56" s="23" t="e">
        <x:f>=ROUNDUP(C56*维护参数!$B$18/维护参数!$B$15/10,0)*10</x:f>
        <x:v>#NAME?</x:v>
      </x:c>
      <x:c r="O56" s="23" t="e">
        <x:f>=ROUNDUP(C56*维护参数!$B$19/维护参数!$B$15/10,0)*10</x:f>
        <x:v>#NAME?</x:v>
      </x:c>
      <x:c r="P56" s="24" t="e">
        <x:f>=L56/1000*维护参数!$B$6+M56*维护参数!$B$7+N56*维护参数!$B$8+O56*维护参数!$B$9</x:f>
        <x:v>#NAME?</x:v>
      </x:c>
      <x:c r="Q56" s="24" t="e">
        <x:f>=SUM(K56,P56)</x:f>
        <x:v>#NAME?</x:v>
      </x:c>
      <x:c r="R56" s="32" t="e">
        <x:f>=Q56/H56</x:f>
        <x:v>#NAME?</x:v>
      </x:c>
      <x:c r="S56" s="24" t="e">
        <x:f>=H56-Q56</x:f>
        <x:v>#NAME?</x:v>
      </x:c>
      <x:c r="T56" s="32" t="e">
        <x:f>=S56/(C56)</x:f>
        <x:v>#NAME?</x:v>
      </x:c>
      <x:c r="U56" s="24" t="e">
        <x:f>=S56*维护参数!$B$20</x:f>
        <x:v>#NAME?</x:v>
      </x:c>
      <x:c r="V56" s="32" t="e">
        <x:f>=U56/(C56)</x:f>
        <x:v>#NAME?</x:v>
      </x:c>
      <x:c r="W56" s="7" t="s">
        <x:v>116</x:v>
      </x:c>
      <x:c r="X56" s="7" t="s">
        <x:v>117</x:v>
      </x:c>
      <x:c r="Z56" s="90" t="s">
        <x:v>1</x:v>
      </x:c>
      <x:c r="AA56" s="90" t="s">
        <x:v>1</x:v>
      </x:c>
      <x:c r="AB56" s="92" t="s">
        <x:v>1</x:v>
      </x:c>
      <x:c r="AC56" s="92" t="s">
        <x:v>1</x:v>
      </x:c>
      <x:c r="AD56" s="92" t="s">
        <x:v>1</x:v>
      </x:c>
      <x:c r="AE56" s="92" t="s">
        <x:v>1</x:v>
      </x:c>
      <x:c r="AF56" s="90" t="s">
        <x:v>1</x:v>
      </x:c>
      <x:c r="AG56" s="92" t="s">
        <x:v>1</x:v>
      </x:c>
      <x:c r="AH56" s="90" t="s">
        <x:v>1</x:v>
      </x:c>
      <x:c r="AI56" s="90" t="s">
        <x:v>1</x:v>
      </x:c>
      <x:c r="AJ56" s="90" t="s">
        <x:v>1</x:v>
      </x:c>
    </x:row>
    <x:row r="57">
      <x:c r="A57" s="7" t="s">
        <x:v>1</x:v>
      </x:c>
      <x:c r="B57" s="7" t="s">
        <x:v>1</x:v>
      </x:c>
      <x:c r="C57" s="28" t="s">
        <x:v>1</x:v>
      </x:c>
      <x:c r="D57" s="28" t="s">
        <x:v>1</x:v>
      </x:c>
      <x:c r="E57" s="28" t="s">
        <x:v>1</x:v>
      </x:c>
      <x:c r="F57" s="28" t="s">
        <x:v>1</x:v>
      </x:c>
      <x:c r="G57" s="7" t="s">
        <x:v>63</x:v>
      </x:c>
      <x:c r="H57" s="19" t="e">
        <x:f>=(C56)*(维护参数!$B$10)</x:f>
        <x:v>#NAME?</x:v>
      </x:c>
      <x:c r="I57" s="30" t="s">
        <x:v>1</x:v>
      </x:c>
      <x:c r="J57" s="7" t="s">
        <x:v>64</x:v>
      </x:c>
      <x:c r="K57" s="24" t="e">
        <x:f>=(MAX(维护参数!$B$5,ROUNDUP(I56/10000,0)))*(维护参数!$B$3)</x:f>
        <x:v>#NAME?</x:v>
      </x:c>
      <x:c r="L57" s="30" t="s">
        <x:v>1</x:v>
      </x:c>
      <x:c r="M57" s="30" t="s">
        <x:v>1</x:v>
      </x:c>
      <x:c r="N57" s="30" t="s">
        <x:v>1</x:v>
      </x:c>
      <x:c r="O57" s="30" t="s">
        <x:v>1</x:v>
      </x:c>
      <x:c r="P57" s="31" t="s">
        <x:v>1</x:v>
      </x:c>
      <x:c r="Q57" s="24" t="e">
        <x:f>=SUM(K57,P56)</x:f>
        <x:v>#NAME?</x:v>
      </x:c>
      <x:c r="R57" s="32" t="e">
        <x:f>=Q57/H57</x:f>
        <x:v>#NAME?</x:v>
      </x:c>
      <x:c r="S57" s="24" t="e">
        <x:f>=H57-Q57</x:f>
        <x:v>#NAME?</x:v>
      </x:c>
      <x:c r="T57" s="32" t="e">
        <x:f>=S57/(C56)</x:f>
        <x:v>#NAME?</x:v>
      </x:c>
      <x:c r="U57" s="24" t="e">
        <x:f>=S57*维护参数!$B$20</x:f>
        <x:v>#NAME?</x:v>
      </x:c>
      <x:c r="V57" s="32" t="e">
        <x:f>=U57/(C56)</x:f>
        <x:v>#NAME?</x:v>
      </x:c>
      <x:c r="W57" s="7" t="s">
        <x:v>1</x:v>
      </x:c>
      <x:c r="X57" s="7" t="s">
        <x:v>1</x:v>
      </x:c>
      <x:c r="Z57" s="90" t="s">
        <x:v>1</x:v>
      </x:c>
      <x:c r="AA57" s="90" t="s">
        <x:v>1</x:v>
      </x:c>
      <x:c r="AB57" s="92" t="s">
        <x:v>1</x:v>
      </x:c>
      <x:c r="AC57" s="92" t="s">
        <x:v>1</x:v>
      </x:c>
      <x:c r="AD57" s="92" t="s">
        <x:v>1</x:v>
      </x:c>
      <x:c r="AE57" s="92" t="s">
        <x:v>1</x:v>
      </x:c>
      <x:c r="AF57" s="90" t="s">
        <x:v>1</x:v>
      </x:c>
      <x:c r="AG57" s="92" t="s">
        <x:v>1</x:v>
      </x:c>
      <x:c r="AH57" s="92" t="s">
        <x:v>1</x:v>
      </x:c>
      <x:c r="AI57" s="90" t="s">
        <x:v>1</x:v>
      </x:c>
      <x:c r="AJ57" s="90" t="s">
        <x:v>1</x:v>
      </x:c>
    </x:row>
    <x:row r="58">
      <x:c r="A58" s="7" t="s">
        <x:v>118</x:v>
      </x:c>
      <x:c r="B58" s="7" t="s">
        <x:v>96</x:v>
      </x:c>
      <x:c r="C58" s="19">
        <x:v>7400</x:v>
      </x:c>
      <x:c r="D58" s="19" t="n">
        <x:f>=C58*0.6</x:f>
        <x:v>4440</x:v>
      </x:c>
      <x:c r="E58" s="20" t="s">
        <x:v>58</x:v>
      </x:c>
      <x:c r="F58" s="20" t="s">
        <x:v>58</x:v>
      </x:c>
      <x:c r="G58" s="7" t="s">
        <x:v>59</x:v>
      </x:c>
      <x:c r="H58" s="19" t="n">
        <x:f>=(D58)*(1)</x:f>
        <x:v>4440</x:v>
      </x:c>
      <x:c r="I58" s="21" t="e">
        <x:f>=ROUNDUP(C58*维护参数!$B$11/维护参数!$B$12*1000,0)</x:f>
        <x:v>#NAME?</x:v>
      </x:c>
      <x:c r="J58" s="7" t="s">
        <x:v>60</x:v>
      </x:c>
      <x:c r="K58" s="24" t="e">
        <x:f>=(MAX(维护参数!$B$4,ROUNDUP(I58/10000,0)))*(维护参数!$B$2)</x:f>
        <x:v>#NAME?</x:v>
      </x:c>
      <x:c r="L58" s="23" t="e">
        <x:f>=ROUNDUP(C58*维护参数!$B$16/维护参数!$B$15/1000,0)*1000</x:f>
        <x:v>#NAME?</x:v>
      </x:c>
      <x:c r="M58" s="23" t="e">
        <x:f>=ROUNDUP(C58*维护参数!$B$17/维护参数!$B$15/10,0)*10</x:f>
        <x:v>#NAME?</x:v>
      </x:c>
      <x:c r="N58" s="23" t="e">
        <x:f>=ROUNDUP(C58*维护参数!$B$18/维护参数!$B$15/10,0)*10</x:f>
        <x:v>#NAME?</x:v>
      </x:c>
      <x:c r="O58" s="23" t="e">
        <x:f>=ROUNDUP(C58*维护参数!$B$19/维护参数!$B$15/10,0)*10</x:f>
        <x:v>#NAME?</x:v>
      </x:c>
      <x:c r="P58" s="24" t="e">
        <x:f>=L58/1000*维护参数!$B$6+M58*维护参数!$B$7+N58*维护参数!$B$8+O58*维护参数!$B$9</x:f>
        <x:v>#NAME?</x:v>
      </x:c>
      <x:c r="Q58" s="24" t="e">
        <x:f>=SUM(K58,P58)</x:f>
        <x:v>#NAME?</x:v>
      </x:c>
      <x:c r="R58" s="32" t="e">
        <x:f>=Q58/H58</x:f>
        <x:v>#NAME?</x:v>
      </x:c>
      <x:c r="S58" s="24" t="e">
        <x:f>=H58-Q58</x:f>
        <x:v>#NAME?</x:v>
      </x:c>
      <x:c r="T58" s="32" t="e">
        <x:f>=S58/(C58)</x:f>
        <x:v>#NAME?</x:v>
      </x:c>
      <x:c r="U58" s="24" t="e">
        <x:f>=S58*维护参数!$B$20</x:f>
        <x:v>#NAME?</x:v>
      </x:c>
      <x:c r="V58" s="32" t="e">
        <x:f>=U58/(C58)</x:f>
        <x:v>#NAME?</x:v>
      </x:c>
      <x:c r="W58" s="7" t="s">
        <x:v>116</x:v>
      </x:c>
      <x:c r="X58" s="7" t="s">
        <x:v>119</x:v>
      </x:c>
      <x:c r="Z58" s="90" t="s">
        <x:v>1</x:v>
      </x:c>
      <x:c r="AA58" s="90" t="s">
        <x:v>1</x:v>
      </x:c>
      <x:c r="AB58" s="92" t="s">
        <x:v>1</x:v>
      </x:c>
      <x:c r="AC58" s="92" t="s">
        <x:v>1</x:v>
      </x:c>
      <x:c r="AD58" s="92" t="s">
        <x:v>1</x:v>
      </x:c>
      <x:c r="AE58" s="92" t="s">
        <x:v>1</x:v>
      </x:c>
      <x:c r="AF58" s="90" t="s">
        <x:v>1</x:v>
      </x:c>
      <x:c r="AG58" s="92" t="s">
        <x:v>1</x:v>
      </x:c>
      <x:c r="AH58" s="90" t="s">
        <x:v>1</x:v>
      </x:c>
      <x:c r="AI58" s="90" t="s">
        <x:v>1</x:v>
      </x:c>
      <x:c r="AJ58" s="90" t="s">
        <x:v>1</x:v>
      </x:c>
    </x:row>
    <x:row r="59">
      <x:c r="A59" s="7" t="s">
        <x:v>1</x:v>
      </x:c>
      <x:c r="B59" s="7" t="s">
        <x:v>1</x:v>
      </x:c>
      <x:c r="C59" s="28" t="s">
        <x:v>1</x:v>
      </x:c>
      <x:c r="D59" s="28" t="s">
        <x:v>1</x:v>
      </x:c>
      <x:c r="E59" s="28" t="s">
        <x:v>1</x:v>
      </x:c>
      <x:c r="F59" s="28" t="s">
        <x:v>1</x:v>
      </x:c>
      <x:c r="G59" s="7" t="s">
        <x:v>63</x:v>
      </x:c>
      <x:c r="H59" s="19" t="e">
        <x:f>=(C58)*(维护参数!$B$10)</x:f>
        <x:v>#NAME?</x:v>
      </x:c>
      <x:c r="I59" s="30" t="s">
        <x:v>1</x:v>
      </x:c>
      <x:c r="J59" s="7" t="s">
        <x:v>64</x:v>
      </x:c>
      <x:c r="K59" s="24" t="e">
        <x:f>=(MAX(维护参数!$B$5,ROUNDUP(I58/10000,0)))*(维护参数!$B$3)</x:f>
        <x:v>#NAME?</x:v>
      </x:c>
      <x:c r="L59" s="30" t="s">
        <x:v>1</x:v>
      </x:c>
      <x:c r="M59" s="30" t="s">
        <x:v>1</x:v>
      </x:c>
      <x:c r="N59" s="30" t="s">
        <x:v>1</x:v>
      </x:c>
      <x:c r="O59" s="30" t="s">
        <x:v>1</x:v>
      </x:c>
      <x:c r="P59" s="31" t="s">
        <x:v>1</x:v>
      </x:c>
      <x:c r="Q59" s="24" t="e">
        <x:f>=SUM(K59,P58)</x:f>
        <x:v>#NAME?</x:v>
      </x:c>
      <x:c r="R59" s="32" t="e">
        <x:f>=Q59/H59</x:f>
        <x:v>#NAME?</x:v>
      </x:c>
      <x:c r="S59" s="24" t="e">
        <x:f>=H59-Q59</x:f>
        <x:v>#NAME?</x:v>
      </x:c>
      <x:c r="T59" s="32" t="e">
        <x:f>=S59/(C58)</x:f>
        <x:v>#NAME?</x:v>
      </x:c>
      <x:c r="U59" s="24" t="e">
        <x:f>=S59*维护参数!$B$20</x:f>
        <x:v>#NAME?</x:v>
      </x:c>
      <x:c r="V59" s="32" t="e">
        <x:f>=U59/(C58)</x:f>
        <x:v>#NAME?</x:v>
      </x:c>
      <x:c r="W59" s="7" t="s">
        <x:v>1</x:v>
      </x:c>
      <x:c r="X59" s="7" t="s">
        <x:v>1</x:v>
      </x:c>
      <x:c r="Z59" s="90" t="s">
        <x:v>1</x:v>
      </x:c>
      <x:c r="AA59" s="90" t="s">
        <x:v>1</x:v>
      </x:c>
      <x:c r="AB59" s="92" t="s">
        <x:v>1</x:v>
      </x:c>
      <x:c r="AC59" s="92" t="s">
        <x:v>1</x:v>
      </x:c>
      <x:c r="AD59" s="92" t="s">
        <x:v>1</x:v>
      </x:c>
      <x:c r="AE59" s="92" t="s">
        <x:v>1</x:v>
      </x:c>
      <x:c r="AF59" s="90" t="s">
        <x:v>1</x:v>
      </x:c>
      <x:c r="AG59" s="92" t="s">
        <x:v>1</x:v>
      </x:c>
      <x:c r="AH59" s="92" t="s">
        <x:v>1</x:v>
      </x:c>
      <x:c r="AI59" s="90" t="s">
        <x:v>1</x:v>
      </x:c>
      <x:c r="AJ59" s="90" t="s">
        <x:v>1</x:v>
      </x:c>
    </x:row>
    <x:row r="60">
      <x:c r="A60" s="7" t="s">
        <x:v>120</x:v>
      </x:c>
      <x:c r="B60" s="7" t="s">
        <x:v>72</x:v>
      </x:c>
      <x:c r="C60" s="19">
        <x:v>5000</x:v>
      </x:c>
      <x:c r="D60" s="19" t="n">
        <x:f>=C60*0.6</x:f>
        <x:v>3000</x:v>
      </x:c>
      <x:c r="E60" s="20" t="s">
        <x:v>58</x:v>
      </x:c>
      <x:c r="F60" s="20" t="s">
        <x:v>58</x:v>
      </x:c>
      <x:c r="G60" s="7" t="s">
        <x:v>59</x:v>
      </x:c>
      <x:c r="H60" s="19" t="n">
        <x:f>=(D60)*(1)</x:f>
        <x:v>3000</x:v>
      </x:c>
      <x:c r="I60" s="21" t="e">
        <x:f>=ROUNDUP(C60*维护参数!$B$11/维护参数!$B$12*1000,0)</x:f>
        <x:v>#NAME?</x:v>
      </x:c>
      <x:c r="J60" s="7" t="s">
        <x:v>60</x:v>
      </x:c>
      <x:c r="K60" s="24" t="e">
        <x:f>=(MAX(维护参数!$B$4,ROUNDUP(I60/10000,0)))*(维护参数!$B$2)</x:f>
        <x:v>#NAME?</x:v>
      </x:c>
      <x:c r="L60" s="23" t="e">
        <x:f>=ROUNDUP(C60*维护参数!$B$16/维护参数!$B$15/1000,0)*1000</x:f>
        <x:v>#NAME?</x:v>
      </x:c>
      <x:c r="M60" s="23" t="e">
        <x:f>=ROUNDUP(C60*维护参数!$B$17/维护参数!$B$15/10,0)*10</x:f>
        <x:v>#NAME?</x:v>
      </x:c>
      <x:c r="N60" s="23" t="e">
        <x:f>=ROUNDUP(C60*维护参数!$B$18/维护参数!$B$15/10,0)*10</x:f>
        <x:v>#NAME?</x:v>
      </x:c>
      <x:c r="O60" s="23" t="e">
        <x:f>=ROUNDUP(C60*维护参数!$B$19/维护参数!$B$15/10,0)*10</x:f>
        <x:v>#NAME?</x:v>
      </x:c>
      <x:c r="P60" s="24" t="e">
        <x:f>=L60/1000*维护参数!$B$6+M60*维护参数!$B$7+N60*维护参数!$B$8+O60*维护参数!$B$9</x:f>
        <x:v>#NAME?</x:v>
      </x:c>
      <x:c r="Q60" s="24" t="e">
        <x:f>=SUM(K60,P60)</x:f>
        <x:v>#NAME?</x:v>
      </x:c>
      <x:c r="R60" s="32" t="e">
        <x:f>=Q60/H60</x:f>
        <x:v>#NAME?</x:v>
      </x:c>
      <x:c r="S60" s="24" t="e">
        <x:f>=H60-Q60</x:f>
        <x:v>#NAME?</x:v>
      </x:c>
      <x:c r="T60" s="32" t="e">
        <x:f>=S60/(C60)</x:f>
        <x:v>#NAME?</x:v>
      </x:c>
      <x:c r="U60" s="24" t="e">
        <x:f>=S60*维护参数!$B$20</x:f>
        <x:v>#NAME?</x:v>
      </x:c>
      <x:c r="V60" s="32" t="e">
        <x:f>=U60/(C60)</x:f>
        <x:v>#NAME?</x:v>
      </x:c>
      <x:c r="W60" s="7" t="s">
        <x:v>116</x:v>
      </x:c>
      <x:c r="X60" s="37" t="s">
        <x:v>121</x:v>
      </x:c>
      <x:c r="Z60" s="90" t="s">
        <x:v>1</x:v>
      </x:c>
      <x:c r="AA60" s="90" t="s">
        <x:v>1</x:v>
      </x:c>
      <x:c r="AB60" s="92" t="s">
        <x:v>1</x:v>
      </x:c>
      <x:c r="AC60" s="92" t="s">
        <x:v>1</x:v>
      </x:c>
      <x:c r="AD60" s="92" t="s">
        <x:v>1</x:v>
      </x:c>
      <x:c r="AE60" s="92" t="s">
        <x:v>1</x:v>
      </x:c>
      <x:c r="AF60" s="90" t="s">
        <x:v>1</x:v>
      </x:c>
      <x:c r="AG60" s="92" t="s">
        <x:v>1</x:v>
      </x:c>
      <x:c r="AH60" s="90" t="s">
        <x:v>1</x:v>
      </x:c>
      <x:c r="AI60" s="90" t="s">
        <x:v>1</x:v>
      </x:c>
      <x:c r="AJ60" s="90" t="s">
        <x:v>1</x:v>
      </x:c>
    </x:row>
    <x:row r="61">
      <x:c r="A61" s="7" t="s">
        <x:v>1</x:v>
      </x:c>
      <x:c r="B61" s="7" t="s">
        <x:v>1</x:v>
      </x:c>
      <x:c r="C61" s="28" t="s">
        <x:v>1</x:v>
      </x:c>
      <x:c r="D61" s="28" t="s">
        <x:v>1</x:v>
      </x:c>
      <x:c r="E61" s="28" t="s">
        <x:v>1</x:v>
      </x:c>
      <x:c r="F61" s="28" t="s">
        <x:v>1</x:v>
      </x:c>
      <x:c r="G61" s="7" t="s">
        <x:v>63</x:v>
      </x:c>
      <x:c r="H61" s="19" t="e">
        <x:f>=(C60)*(维护参数!$B$10)</x:f>
        <x:v>#NAME?</x:v>
      </x:c>
      <x:c r="I61" s="30" t="s">
        <x:v>1</x:v>
      </x:c>
      <x:c r="J61" s="7" t="s">
        <x:v>64</x:v>
      </x:c>
      <x:c r="K61" s="24" t="e">
        <x:f>=(MAX(维护参数!$B$5,ROUNDUP(I60/10000,0)))*(维护参数!$B$3)</x:f>
        <x:v>#NAME?</x:v>
      </x:c>
      <x:c r="L61" s="30" t="s">
        <x:v>1</x:v>
      </x:c>
      <x:c r="M61" s="30" t="s">
        <x:v>1</x:v>
      </x:c>
      <x:c r="N61" s="30" t="s">
        <x:v>1</x:v>
      </x:c>
      <x:c r="O61" s="30" t="s">
        <x:v>1</x:v>
      </x:c>
      <x:c r="P61" s="31" t="s">
        <x:v>1</x:v>
      </x:c>
      <x:c r="Q61" s="24" t="e">
        <x:f>=SUM(K61,P60)</x:f>
        <x:v>#NAME?</x:v>
      </x:c>
      <x:c r="R61" s="32" t="e">
        <x:f>=Q61/H61</x:f>
        <x:v>#NAME?</x:v>
      </x:c>
      <x:c r="S61" s="24" t="e">
        <x:f>=H61-Q61</x:f>
        <x:v>#NAME?</x:v>
      </x:c>
      <x:c r="T61" s="32" t="e">
        <x:f>=S61/(C60)</x:f>
        <x:v>#NAME?</x:v>
      </x:c>
      <x:c r="U61" s="24" t="e">
        <x:f>=S61*维护参数!$B$20</x:f>
        <x:v>#NAME?</x:v>
      </x:c>
      <x:c r="V61" s="32" t="e">
        <x:f>=U61/(C60)</x:f>
        <x:v>#NAME?</x:v>
      </x:c>
      <x:c r="W61" s="7" t="s">
        <x:v>1</x:v>
      </x:c>
      <x:c r="X61" s="7" t="s">
        <x:v>1</x:v>
      </x:c>
      <x:c r="Z61" s="90" t="s">
        <x:v>1</x:v>
      </x:c>
      <x:c r="AA61" s="90" t="s">
        <x:v>1</x:v>
      </x:c>
      <x:c r="AB61" s="92" t="s">
        <x:v>1</x:v>
      </x:c>
      <x:c r="AC61" s="92" t="s">
        <x:v>1</x:v>
      </x:c>
      <x:c r="AD61" s="92" t="s">
        <x:v>1</x:v>
      </x:c>
      <x:c r="AE61" s="92" t="s">
        <x:v>1</x:v>
      </x:c>
      <x:c r="AF61" s="90" t="s">
        <x:v>1</x:v>
      </x:c>
      <x:c r="AG61" s="92" t="s">
        <x:v>1</x:v>
      </x:c>
      <x:c r="AH61" s="92" t="s">
        <x:v>1</x:v>
      </x:c>
      <x:c r="AI61" s="90" t="s">
        <x:v>1</x:v>
      </x:c>
      <x:c r="AJ61" s="90" t="s">
        <x:v>1</x:v>
      </x:c>
    </x:row>
    <x:row r="62">
      <x:c r="Z62" s="90" t="s">
        <x:v>1</x:v>
      </x:c>
      <x:c r="AA62" s="90" t="s">
        <x:v>1</x:v>
      </x:c>
      <x:c r="AB62" s="92" t="s">
        <x:v>1</x:v>
      </x:c>
      <x:c r="AC62" s="92" t="s">
        <x:v>1</x:v>
      </x:c>
      <x:c r="AD62" s="92" t="s">
        <x:v>1</x:v>
      </x:c>
      <x:c r="AE62" s="92" t="s">
        <x:v>1</x:v>
      </x:c>
      <x:c r="AF62" s="90" t="s">
        <x:v>1</x:v>
      </x:c>
      <x:c r="AG62" s="92" t="s">
        <x:v>1</x:v>
      </x:c>
      <x:c r="AH62" s="90" t="s">
        <x:v>1</x:v>
      </x:c>
      <x:c r="AI62" s="90" t="s">
        <x:v>1</x:v>
      </x:c>
      <x:c r="AJ62" s="90" t="s">
        <x:v>1</x:v>
      </x:c>
    </x:row>
    <x:row r="63">
      <x:c r="Z63" s="79" t="s">
        <x:v>1</x:v>
      </x:c>
      <x:c r="AA63" s="79" t="s">
        <x:v>1</x:v>
      </x:c>
      <x:c r="AB63" s="79" t="s">
        <x:v>1</x:v>
      </x:c>
      <x:c r="AC63" s="79" t="s">
        <x:v>1</x:v>
      </x:c>
      <x:c r="AD63" s="79" t="s">
        <x:v>1</x:v>
      </x:c>
      <x:c r="AE63" s="79" t="s">
        <x:v>1</x:v>
      </x:c>
      <x:c r="AF63" s="79" t="s">
        <x:v>1</x:v>
      </x:c>
      <x:c r="AG63" s="79" t="s">
        <x:v>1</x:v>
      </x:c>
      <x:c r="AH63" s="79" t="s">
        <x:v>1</x:v>
      </x:c>
      <x:c r="AI63" s="79" t="s">
        <x:v>1</x:v>
      </x:c>
      <x:c r="AJ63" s="79" t="s">
        <x:v>1</x:v>
      </x:c>
    </x:row>
    <x:row r="64">
      <x:c r="Z64" s="79" t="s">
        <x:v>1</x:v>
      </x:c>
      <x:c r="AA64" s="79" t="s">
        <x:v>1</x:v>
      </x:c>
      <x:c r="AB64" s="79" t="s">
        <x:v>1</x:v>
      </x:c>
      <x:c r="AC64" s="79" t="s">
        <x:v>1</x:v>
      </x:c>
      <x:c r="AD64" s="79" t="s">
        <x:v>1</x:v>
      </x:c>
      <x:c r="AE64" s="79" t="s">
        <x:v>1</x:v>
      </x:c>
      <x:c r="AF64" s="79" t="s">
        <x:v>1</x:v>
      </x:c>
      <x:c r="AG64" s="79" t="s">
        <x:v>1</x:v>
      </x:c>
      <x:c r="AH64" s="79" t="s">
        <x:v>1</x:v>
      </x:c>
      <x:c r="AI64" s="79" t="s">
        <x:v>1</x:v>
      </x:c>
      <x:c r="AJ64" s="79" t="s">
        <x:v>1</x:v>
      </x:c>
    </x:row>
    <x:row r="65">
      <x:c r="Z65" s="79" t="s">
        <x:v>1</x:v>
      </x:c>
      <x:c r="AA65" s="79" t="s">
        <x:v>1</x:v>
      </x:c>
      <x:c r="AB65" s="79" t="s">
        <x:v>1</x:v>
      </x:c>
      <x:c r="AC65" s="79" t="s">
        <x:v>1</x:v>
      </x:c>
      <x:c r="AD65" s="79" t="s">
        <x:v>1</x:v>
      </x:c>
      <x:c r="AE65" s="79" t="s">
        <x:v>1</x:v>
      </x:c>
      <x:c r="AF65" s="79" t="s">
        <x:v>1</x:v>
      </x:c>
      <x:c r="AG65" s="79" t="s">
        <x:v>1</x:v>
      </x:c>
      <x:c r="AH65" s="79" t="s">
        <x:v>1</x:v>
      </x:c>
      <x:c r="AI65" s="79" t="s">
        <x:v>1</x:v>
      </x:c>
      <x:c r="AJ65" s="79" t="s">
        <x:v>1</x:v>
      </x:c>
    </x:row>
    <x:row r="66">
      <x:c r="Z66" s="79" t="s">
        <x:v>1</x:v>
      </x:c>
      <x:c r="AA66" s="79" t="s">
        <x:v>1</x:v>
      </x:c>
      <x:c r="AB66" s="79" t="s">
        <x:v>1</x:v>
      </x:c>
      <x:c r="AC66" s="79" t="s">
        <x:v>1</x:v>
      </x:c>
      <x:c r="AD66" s="79" t="s">
        <x:v>1</x:v>
      </x:c>
      <x:c r="AE66" s="79" t="s">
        <x:v>1</x:v>
      </x:c>
      <x:c r="AF66" s="79" t="s">
        <x:v>1</x:v>
      </x:c>
      <x:c r="AG66" s="79" t="s">
        <x:v>1</x:v>
      </x:c>
      <x:c r="AH66" s="79" t="s">
        <x:v>1</x:v>
      </x:c>
      <x:c r="AI66" s="79" t="s">
        <x:v>1</x:v>
      </x:c>
      <x:c r="AJ66" s="79" t="s">
        <x:v>1</x:v>
      </x:c>
    </x:row>
    <x:row r="67">
      <x:c r="Z67" s="79" t="s">
        <x:v>1</x:v>
      </x:c>
      <x:c r="AA67" s="79" t="s">
        <x:v>1</x:v>
      </x:c>
      <x:c r="AB67" s="79" t="s">
        <x:v>1</x:v>
      </x:c>
      <x:c r="AC67" s="79" t="s">
        <x:v>1</x:v>
      </x:c>
      <x:c r="AD67" s="79" t="s">
        <x:v>1</x:v>
      </x:c>
      <x:c r="AE67" s="79" t="s">
        <x:v>1</x:v>
      </x:c>
      <x:c r="AF67" s="79" t="s">
        <x:v>1</x:v>
      </x:c>
      <x:c r="AG67" s="79" t="s">
        <x:v>1</x:v>
      </x:c>
      <x:c r="AH67" s="79" t="s">
        <x:v>1</x:v>
      </x:c>
      <x:c r="AI67" s="79" t="s">
        <x:v>1</x:v>
      </x:c>
      <x:c r="AJ67" s="79" t="s">
        <x:v>1</x:v>
      </x:c>
    </x:row>
    <x:row r="68">
      <x:c r="Z68" s="79" t="s">
        <x:v>1</x:v>
      </x:c>
      <x:c r="AA68" s="79" t="s">
        <x:v>1</x:v>
      </x:c>
      <x:c r="AB68" s="79" t="s">
        <x:v>1</x:v>
      </x:c>
      <x:c r="AC68" s="79" t="s">
        <x:v>1</x:v>
      </x:c>
      <x:c r="AD68" s="79" t="s">
        <x:v>1</x:v>
      </x:c>
      <x:c r="AE68" s="79" t="s">
        <x:v>1</x:v>
      </x:c>
      <x:c r="AF68" s="79" t="s">
        <x:v>1</x:v>
      </x:c>
      <x:c r="AG68" s="79" t="s">
        <x:v>1</x:v>
      </x:c>
      <x:c r="AH68" s="79" t="s">
        <x:v>1</x:v>
      </x:c>
      <x:c r="AI68" s="79" t="s">
        <x:v>1</x:v>
      </x:c>
      <x:c r="AJ68" s="79" t="s">
        <x:v>1</x:v>
      </x:c>
    </x:row>
    <x:row r="69">
      <x:c r="Z69" s="79" t="s">
        <x:v>1</x:v>
      </x:c>
      <x:c r="AA69" s="79" t="s">
        <x:v>1</x:v>
      </x:c>
      <x:c r="AB69" s="79" t="s">
        <x:v>1</x:v>
      </x:c>
      <x:c r="AC69" s="79" t="s">
        <x:v>1</x:v>
      </x:c>
      <x:c r="AD69" s="79" t="s">
        <x:v>1</x:v>
      </x:c>
      <x:c r="AE69" s="79" t="s">
        <x:v>1</x:v>
      </x:c>
      <x:c r="AF69" s="79" t="s">
        <x:v>1</x:v>
      </x:c>
      <x:c r="AG69" s="79" t="s">
        <x:v>1</x:v>
      </x:c>
      <x:c r="AH69" s="79" t="s">
        <x:v>1</x:v>
      </x:c>
      <x:c r="AI69" s="79" t="s">
        <x:v>1</x:v>
      </x:c>
      <x:c r="AJ69" s="79" t="s">
        <x:v>1</x:v>
      </x:c>
    </x:row>
  </x:sheetData>
  <x:mergeCells>
    <x:mergeCell ref="A2:U2"/>
    <x:mergeCell ref="A1:Y1"/>
    <x:mergeCell ref="A18:A19"/>
    <x:mergeCell ref="B18:B19"/>
    <x:mergeCell ref="C18:C19"/>
    <x:mergeCell ref="D18:D19"/>
    <x:mergeCell ref="E18:E19"/>
    <x:mergeCell ref="F18:F19"/>
    <x:mergeCell ref="I18:I19"/>
    <x:mergeCell ref="L18:L19"/>
    <x:mergeCell ref="M18:M19"/>
    <x:mergeCell ref="N18:N19"/>
    <x:mergeCell ref="O18:O19"/>
    <x:mergeCell ref="P18:P19"/>
    <x:mergeCell ref="W18:W19"/>
    <x:mergeCell ref="X18:X19"/>
    <x:mergeCell ref="A20:A21"/>
    <x:mergeCell ref="B20:B21"/>
    <x:mergeCell ref="C20:C21"/>
    <x:mergeCell ref="D20:D21"/>
    <x:mergeCell ref="E20:E21"/>
    <x:mergeCell ref="F20:F21"/>
    <x:mergeCell ref="I20:I21"/>
    <x:mergeCell ref="L20:L21"/>
    <x:mergeCell ref="M20:M21"/>
    <x:mergeCell ref="N20:N21"/>
    <x:mergeCell ref="O20:O21"/>
    <x:mergeCell ref="P20:P21"/>
    <x:mergeCell ref="W20:W21"/>
    <x:mergeCell ref="X20:X21"/>
    <x:mergeCell ref="A22:A23"/>
    <x:mergeCell ref="B22:B23"/>
    <x:mergeCell ref="C22:C23"/>
    <x:mergeCell ref="D22:D23"/>
    <x:mergeCell ref="E22:E23"/>
    <x:mergeCell ref="F22:F23"/>
    <x:mergeCell ref="I22:I23"/>
    <x:mergeCell ref="L22:L23"/>
    <x:mergeCell ref="M22:M23"/>
    <x:mergeCell ref="N22:N23"/>
    <x:mergeCell ref="O22:O23"/>
    <x:mergeCell ref="P22:P23"/>
    <x:mergeCell ref="W22:W23"/>
    <x:mergeCell ref="X22:X23"/>
    <x:mergeCell ref="A24:A25"/>
    <x:mergeCell ref="B24:B25"/>
    <x:mergeCell ref="C24:C25"/>
    <x:mergeCell ref="D24:D25"/>
    <x:mergeCell ref="E24:E25"/>
    <x:mergeCell ref="F24:F25"/>
    <x:mergeCell ref="I24:I25"/>
    <x:mergeCell ref="L24:L25"/>
    <x:mergeCell ref="M24:M25"/>
    <x:mergeCell ref="N24:N25"/>
    <x:mergeCell ref="O24:O25"/>
    <x:mergeCell ref="P24:P25"/>
    <x:mergeCell ref="W24:W25"/>
    <x:mergeCell ref="X24:X25"/>
    <x:mergeCell ref="A26:A27"/>
    <x:mergeCell ref="B26:B27"/>
    <x:mergeCell ref="C26:C27"/>
    <x:mergeCell ref="D26:D27"/>
    <x:mergeCell ref="E26:E27"/>
    <x:mergeCell ref="F26:F27"/>
    <x:mergeCell ref="I26:I27"/>
    <x:mergeCell ref="L26:L27"/>
    <x:mergeCell ref="M26:M27"/>
    <x:mergeCell ref="N26:N27"/>
    <x:mergeCell ref="O26:O27"/>
    <x:mergeCell ref="P26:P27"/>
    <x:mergeCell ref="W26:W27"/>
    <x:mergeCell ref="X26:X27"/>
    <x:mergeCell ref="A28:A29"/>
    <x:mergeCell ref="B28:B29"/>
    <x:mergeCell ref="C28:C29"/>
    <x:mergeCell ref="D28:D29"/>
    <x:mergeCell ref="E28:E29"/>
    <x:mergeCell ref="F28:F29"/>
    <x:mergeCell ref="I28:I29"/>
    <x:mergeCell ref="L28:L29"/>
    <x:mergeCell ref="M28:M29"/>
    <x:mergeCell ref="N28:N29"/>
    <x:mergeCell ref="O28:O29"/>
    <x:mergeCell ref="P28:P29"/>
    <x:mergeCell ref="W28:W29"/>
    <x:mergeCell ref="X28:X29"/>
    <x:mergeCell ref="A30:A31"/>
    <x:mergeCell ref="B30:B31"/>
    <x:mergeCell ref="C30:C31"/>
    <x:mergeCell ref="D30:D31"/>
    <x:mergeCell ref="E30:E31"/>
    <x:mergeCell ref="F30:F31"/>
    <x:mergeCell ref="I30:I31"/>
    <x:mergeCell ref="L30:L31"/>
    <x:mergeCell ref="M30:M31"/>
    <x:mergeCell ref="N30:N31"/>
    <x:mergeCell ref="O30:O31"/>
    <x:mergeCell ref="P30:P31"/>
    <x:mergeCell ref="W30:W31"/>
    <x:mergeCell ref="X30:X31"/>
    <x:mergeCell ref="A32:A33"/>
    <x:mergeCell ref="B32:B33"/>
    <x:mergeCell ref="C32:C33"/>
    <x:mergeCell ref="D32:D33"/>
    <x:mergeCell ref="E32:E33"/>
    <x:mergeCell ref="F32:F33"/>
    <x:mergeCell ref="I32:I33"/>
    <x:mergeCell ref="L32:L33"/>
    <x:mergeCell ref="M32:M33"/>
    <x:mergeCell ref="N32:N33"/>
    <x:mergeCell ref="O32:O33"/>
    <x:mergeCell ref="P32:P33"/>
    <x:mergeCell ref="W32:W33"/>
    <x:mergeCell ref="X32:X33"/>
    <x:mergeCell ref="A34:A35"/>
    <x:mergeCell ref="B34:B35"/>
    <x:mergeCell ref="C34:C35"/>
    <x:mergeCell ref="D34:D35"/>
    <x:mergeCell ref="E34:E35"/>
    <x:mergeCell ref="F34:F35"/>
    <x:mergeCell ref="I34:I35"/>
    <x:mergeCell ref="L34:L35"/>
    <x:mergeCell ref="M34:M35"/>
    <x:mergeCell ref="N34:N35"/>
    <x:mergeCell ref="O34:O35"/>
    <x:mergeCell ref="P34:P35"/>
    <x:mergeCell ref="W34:W35"/>
    <x:mergeCell ref="X34:X35"/>
    <x:mergeCell ref="A36:A37"/>
    <x:mergeCell ref="B36:B37"/>
    <x:mergeCell ref="C36:C37"/>
    <x:mergeCell ref="D36:D37"/>
    <x:mergeCell ref="E36:E37"/>
    <x:mergeCell ref="F36:F37"/>
    <x:mergeCell ref="I36:I37"/>
    <x:mergeCell ref="L36:L37"/>
    <x:mergeCell ref="M36:M37"/>
    <x:mergeCell ref="N36:N37"/>
    <x:mergeCell ref="O36:O37"/>
    <x:mergeCell ref="P36:P37"/>
    <x:mergeCell ref="W36:W37"/>
    <x:mergeCell ref="X36:X37"/>
    <x:mergeCell ref="A38:A39"/>
    <x:mergeCell ref="B38:B39"/>
    <x:mergeCell ref="C38:C39"/>
    <x:mergeCell ref="D38:D39"/>
    <x:mergeCell ref="E38:E39"/>
    <x:mergeCell ref="F38:F39"/>
    <x:mergeCell ref="I38:I39"/>
    <x:mergeCell ref="L38:L39"/>
    <x:mergeCell ref="M38:M39"/>
    <x:mergeCell ref="N38:N39"/>
    <x:mergeCell ref="O38:O39"/>
    <x:mergeCell ref="P38:P39"/>
    <x:mergeCell ref="W38:W39"/>
    <x:mergeCell ref="X38:X39"/>
    <x:mergeCell ref="A40:A41"/>
    <x:mergeCell ref="B40:B41"/>
    <x:mergeCell ref="C40:C41"/>
    <x:mergeCell ref="D40:D41"/>
    <x:mergeCell ref="E40:E41"/>
    <x:mergeCell ref="F40:F41"/>
    <x:mergeCell ref="I40:I41"/>
    <x:mergeCell ref="L40:L41"/>
    <x:mergeCell ref="M40:M41"/>
    <x:mergeCell ref="N40:N41"/>
    <x:mergeCell ref="O40:O41"/>
    <x:mergeCell ref="P40:P41"/>
    <x:mergeCell ref="W40:W41"/>
    <x:mergeCell ref="X40:X41"/>
    <x:mergeCell ref="A42:A43"/>
    <x:mergeCell ref="B42:B43"/>
    <x:mergeCell ref="C42:C43"/>
    <x:mergeCell ref="D42:D43"/>
    <x:mergeCell ref="E42:E43"/>
    <x:mergeCell ref="F42:F43"/>
    <x:mergeCell ref="I42:I43"/>
    <x:mergeCell ref="L42:L43"/>
    <x:mergeCell ref="M42:M43"/>
    <x:mergeCell ref="N42:N43"/>
    <x:mergeCell ref="O42:O43"/>
    <x:mergeCell ref="P42:P43"/>
    <x:mergeCell ref="W42:W43"/>
    <x:mergeCell ref="X42:X43"/>
    <x:mergeCell ref="A44:A45"/>
    <x:mergeCell ref="B44:B45"/>
    <x:mergeCell ref="C44:C45"/>
    <x:mergeCell ref="D44:D45"/>
    <x:mergeCell ref="E44:E45"/>
    <x:mergeCell ref="F44:F45"/>
    <x:mergeCell ref="I44:I45"/>
    <x:mergeCell ref="L44:L45"/>
    <x:mergeCell ref="M44:M45"/>
    <x:mergeCell ref="N44:N45"/>
    <x:mergeCell ref="O44:O45"/>
    <x:mergeCell ref="P44:P45"/>
    <x:mergeCell ref="W44:W45"/>
    <x:mergeCell ref="X44:X45"/>
    <x:mergeCell ref="A46:A47"/>
    <x:mergeCell ref="B46:B47"/>
    <x:mergeCell ref="C46:C47"/>
    <x:mergeCell ref="D46:D47"/>
    <x:mergeCell ref="E46:E47"/>
    <x:mergeCell ref="F46:F47"/>
    <x:mergeCell ref="I46:I47"/>
    <x:mergeCell ref="L46:L47"/>
    <x:mergeCell ref="M46:M47"/>
    <x:mergeCell ref="N46:N47"/>
    <x:mergeCell ref="O46:O47"/>
    <x:mergeCell ref="P46:P47"/>
    <x:mergeCell ref="W46:W47"/>
    <x:mergeCell ref="X46:X47"/>
    <x:mergeCell ref="A48:A49"/>
    <x:mergeCell ref="B48:B49"/>
    <x:mergeCell ref="C48:C49"/>
    <x:mergeCell ref="D48:D49"/>
    <x:mergeCell ref="E48:E49"/>
    <x:mergeCell ref="F48:F49"/>
    <x:mergeCell ref="I48:I49"/>
    <x:mergeCell ref="L48:L49"/>
    <x:mergeCell ref="M48:M49"/>
    <x:mergeCell ref="N48:N49"/>
    <x:mergeCell ref="O48:O49"/>
    <x:mergeCell ref="P48:P49"/>
    <x:mergeCell ref="W48:W49"/>
    <x:mergeCell ref="X48:X49"/>
    <x:mergeCell ref="A50:A51"/>
    <x:mergeCell ref="B50:B51"/>
    <x:mergeCell ref="C50:C51"/>
    <x:mergeCell ref="D50:D51"/>
    <x:mergeCell ref="E50:E51"/>
    <x:mergeCell ref="F50:F51"/>
    <x:mergeCell ref="I50:I51"/>
    <x:mergeCell ref="L50:L51"/>
    <x:mergeCell ref="M50:M51"/>
    <x:mergeCell ref="N50:N51"/>
    <x:mergeCell ref="O50:O51"/>
    <x:mergeCell ref="P50:P51"/>
    <x:mergeCell ref="W50:W51"/>
    <x:mergeCell ref="X50:X51"/>
    <x:mergeCell ref="A52:A53"/>
    <x:mergeCell ref="B52:B53"/>
    <x:mergeCell ref="C52:C53"/>
    <x:mergeCell ref="D52:D53"/>
    <x:mergeCell ref="E52:E53"/>
    <x:mergeCell ref="F52:F53"/>
    <x:mergeCell ref="I52:I53"/>
    <x:mergeCell ref="L52:L53"/>
    <x:mergeCell ref="M52:M53"/>
    <x:mergeCell ref="N52:N53"/>
    <x:mergeCell ref="O52:O53"/>
    <x:mergeCell ref="P52:P53"/>
    <x:mergeCell ref="W52:W53"/>
    <x:mergeCell ref="X52:X53"/>
    <x:mergeCell ref="A54:A55"/>
    <x:mergeCell ref="B54:B55"/>
    <x:mergeCell ref="C54:C55"/>
    <x:mergeCell ref="D54:D55"/>
    <x:mergeCell ref="E54:E55"/>
    <x:mergeCell ref="F54:F55"/>
    <x:mergeCell ref="I54:I55"/>
    <x:mergeCell ref="L54:L55"/>
    <x:mergeCell ref="M54:M55"/>
    <x:mergeCell ref="N54:N55"/>
    <x:mergeCell ref="O54:O55"/>
    <x:mergeCell ref="P54:P55"/>
    <x:mergeCell ref="W54:W55"/>
    <x:mergeCell ref="X54:X55"/>
    <x:mergeCell ref="A56:A57"/>
    <x:mergeCell ref="B56:B57"/>
    <x:mergeCell ref="C56:C57"/>
    <x:mergeCell ref="D56:D57"/>
    <x:mergeCell ref="E56:E57"/>
    <x:mergeCell ref="F56:F57"/>
    <x:mergeCell ref="I56:I57"/>
    <x:mergeCell ref="L56:L57"/>
    <x:mergeCell ref="M56:M57"/>
    <x:mergeCell ref="N56:N57"/>
    <x:mergeCell ref="O56:O57"/>
    <x:mergeCell ref="P56:P57"/>
    <x:mergeCell ref="W56:W57"/>
    <x:mergeCell ref="X56:X57"/>
    <x:mergeCell ref="A58:A59"/>
    <x:mergeCell ref="B58:B59"/>
    <x:mergeCell ref="C58:C59"/>
    <x:mergeCell ref="D58:D59"/>
    <x:mergeCell ref="E58:E59"/>
    <x:mergeCell ref="F58:F59"/>
    <x:mergeCell ref="I58:I59"/>
    <x:mergeCell ref="L58:L59"/>
    <x:mergeCell ref="M58:M59"/>
    <x:mergeCell ref="N58:N59"/>
    <x:mergeCell ref="O58:O59"/>
    <x:mergeCell ref="P58:P59"/>
    <x:mergeCell ref="W58:W59"/>
    <x:mergeCell ref="X58:X59"/>
    <x:mergeCell ref="A60:A61"/>
    <x:mergeCell ref="B60:B61"/>
    <x:mergeCell ref="C60:C61"/>
    <x:mergeCell ref="D60:D61"/>
    <x:mergeCell ref="E60:E61"/>
    <x:mergeCell ref="F60:F61"/>
    <x:mergeCell ref="I60:I61"/>
    <x:mergeCell ref="L60:L61"/>
    <x:mergeCell ref="M60:M61"/>
    <x:mergeCell ref="N60:N61"/>
    <x:mergeCell ref="O60:O61"/>
    <x:mergeCell ref="P60:P61"/>
    <x:mergeCell ref="W60:W61"/>
    <x:mergeCell ref="X60:X61"/>
    <x:mergeCell ref="A16:AW16"/>
    <x:mergeCell ref="A15:Y15"/>
    <x:mergeCell ref="Z15:AW15"/>
  </x:mergeCells>
  <x:hyperlinks>
    <x:hyperlink xmlns:r="http://schemas.openxmlformats.org/officeDocument/2006/relationships" ref="X18" r:id="R1fb7edc142224f9b"/>
    <x:hyperlink xmlns:r="http://schemas.openxmlformats.org/officeDocument/2006/relationships" ref="X20" r:id="Rb65d508e879a42af"/>
    <x:hyperlink xmlns:r="http://schemas.openxmlformats.org/officeDocument/2006/relationships" ref="X22" r:id="R7ac26113c363407b"/>
    <x:hyperlink xmlns:r="http://schemas.openxmlformats.org/officeDocument/2006/relationships" ref="X24" r:id="Rf45350d0e6b44225"/>
    <x:hyperlink xmlns:r="http://schemas.openxmlformats.org/officeDocument/2006/relationships" ref="X26" r:id="R2791dec1d1134ef5"/>
    <x:hyperlink xmlns:r="http://schemas.openxmlformats.org/officeDocument/2006/relationships" ref="X28" r:id="R7f009412da72451f"/>
    <x:hyperlink xmlns:r="http://schemas.openxmlformats.org/officeDocument/2006/relationships" ref="X30" r:id="Rdb22d6d7ddc44cf3"/>
    <x:hyperlink xmlns:r="http://schemas.openxmlformats.org/officeDocument/2006/relationships" ref="X32" r:id="R72422b09f2844abd"/>
    <x:hyperlink xmlns:r="http://schemas.openxmlformats.org/officeDocument/2006/relationships" ref="X34" r:id="Rb5732bc6a2fe4bc1"/>
    <x:hyperlink xmlns:r="http://schemas.openxmlformats.org/officeDocument/2006/relationships" ref="X36" r:id="R16f0afa03dde4e38"/>
    <x:hyperlink xmlns:r="http://schemas.openxmlformats.org/officeDocument/2006/relationships" ref="X38" r:id="R1ce1412d07c749a7"/>
    <x:hyperlink xmlns:r="http://schemas.openxmlformats.org/officeDocument/2006/relationships" ref="X40" r:id="Rb7fcc59df3c84cb7"/>
    <x:hyperlink xmlns:r="http://schemas.openxmlformats.org/officeDocument/2006/relationships" ref="X42" r:id="Refe4fab3df6c4534"/>
    <x:hyperlink xmlns:r="http://schemas.openxmlformats.org/officeDocument/2006/relationships" ref="X44" r:id="R0318b2b593214719"/>
    <x:hyperlink xmlns:r="http://schemas.openxmlformats.org/officeDocument/2006/relationships" ref="X46" r:id="R7de6c1c4bfb44029"/>
    <x:hyperlink xmlns:r="http://schemas.openxmlformats.org/officeDocument/2006/relationships" ref="X48" r:id="Rd2072ef451004db0"/>
    <x:hyperlink xmlns:r="http://schemas.openxmlformats.org/officeDocument/2006/relationships" ref="X50" r:id="Re31af967bc424b49"/>
    <x:hyperlink xmlns:r="http://schemas.openxmlformats.org/officeDocument/2006/relationships" ref="X52" r:id="Rb5a0dccb58f842d5"/>
    <x:hyperlink xmlns:r="http://schemas.openxmlformats.org/officeDocument/2006/relationships" ref="X54" r:id="R35692d27462c4bb1"/>
    <x:hyperlink xmlns:r="http://schemas.openxmlformats.org/officeDocument/2006/relationships" ref="X56" r:id="R440210befa9d42b4"/>
    <x:hyperlink xmlns:r="http://schemas.openxmlformats.org/officeDocument/2006/relationships" ref="X58" r:id="Rd228dc051654464e"/>
    <x:hyperlink xmlns:r="http://schemas.openxmlformats.org/officeDocument/2006/relationships" ref="X60" r:id="Re27dfab648f84f5a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E6A47B"/>
  </x:sheetPr>
  <x:sheetViews>
    <x:sheetView showGridLines="0" workbookViewId="0"/>
  </x:sheetViews>
  <x:sheetFormatPr defaultColWidth="9" defaultRowHeight="15.199999809265137"/>
  <x:cols>
    <x:col min="1" max="1" width="16" customWidth="1"/>
    <x:col min="2" max="2" width="12" customWidth="1"/>
    <x:col min="3" max="3" width="12" hidden="1" customWidth="1"/>
    <x:col min="4" max="5" width="12" customWidth="1"/>
    <x:col min="6" max="6" width="13.081999778747559" customWidth="1"/>
    <x:col min="7" max="7" width="12.41409969329834" customWidth="1"/>
    <x:col min="8" max="8" width="10" customWidth="1"/>
    <x:col min="9" max="9" width="12" customWidth="1"/>
    <x:col min="10" max="10" width="14" customWidth="1"/>
    <x:col min="11" max="11" width="16" customWidth="1"/>
    <x:col min="12" max="12" width="12" customWidth="1"/>
    <x:col min="13" max="13" width="10" customWidth="1"/>
    <x:col min="14" max="16" width="8" customWidth="1"/>
    <x:col min="17" max="17" width="12" customWidth="1"/>
    <x:col min="18" max="18" width="13" customWidth="1"/>
    <x:col min="19" max="19" width="15.71150016784668" customWidth="1"/>
    <x:col min="20" max="20" width="13" customWidth="1"/>
    <x:col min="21" max="21" width="13.761699676513672" customWidth="1"/>
    <x:col min="22" max="22" width="13" customWidth="1"/>
    <x:col min="23" max="23" width="14" customWidth="1"/>
    <x:col min="24" max="24" width="15.511699676513672" customWidth="1"/>
    <x:col min="25" max="25" width="38" customWidth="1"/>
  </x:cols>
  <x:sheetData>
    <x:row r="1" ht="72" customHeight="1">
      <x:c r="A1" s="9" t="s">
        <x:v>122</x:v>
      </x:c>
      <x:c r="B1" s="9" t="s">
        <x:v>1</x:v>
      </x:c>
      <x:c r="C1" s="9" t="s">
        <x:v>1</x:v>
      </x:c>
      <x:c r="D1" s="9" t="s">
        <x:v>1</x:v>
      </x:c>
      <x:c r="E1" s="9" t="s">
        <x:v>1</x:v>
      </x:c>
      <x:c r="F1" s="9" t="s">
        <x:v>1</x:v>
      </x:c>
      <x:c r="G1" s="9" t="s">
        <x:v>1</x:v>
      </x:c>
      <x:c r="H1" s="9" t="s">
        <x:v>1</x:v>
      </x:c>
      <x:c r="I1" s="9" t="s">
        <x:v>1</x:v>
      </x:c>
      <x:c r="J1" s="9" t="s">
        <x:v>1</x:v>
      </x:c>
      <x:c r="K1" s="9" t="s">
        <x:v>1</x:v>
      </x:c>
      <x:c r="L1" s="9" t="s">
        <x:v>1</x:v>
      </x:c>
      <x:c r="M1" s="9" t="s">
        <x:v>1</x:v>
      </x:c>
      <x:c r="N1" s="9" t="s">
        <x:v>1</x:v>
      </x:c>
      <x:c r="O1" s="9" t="s">
        <x:v>1</x:v>
      </x:c>
      <x:c r="P1" s="9" t="s">
        <x:v>1</x:v>
      </x:c>
      <x:c r="Q1" s="9" t="s">
        <x:v>1</x:v>
      </x:c>
      <x:c r="R1" s="9" t="s">
        <x:v>1</x:v>
      </x:c>
      <x:c r="S1" s="9" t="s">
        <x:v>1</x:v>
      </x:c>
      <x:c r="T1" s="9" t="s">
        <x:v>1</x:v>
      </x:c>
      <x:c r="U1" s="9" t="s">
        <x:v>1</x:v>
      </x:c>
      <x:c r="V1" s="9" t="s">
        <x:v>1</x:v>
      </x:c>
      <x:c r="W1" s="9" t="s">
        <x:v>1</x:v>
      </x:c>
      <x:c r="X1" s="9" t="s">
        <x:v>1</x:v>
      </x:c>
      <x:c r="Y1" s="9" t="s">
        <x:v>1</x:v>
      </x:c>
    </x:row>
    <x:row r="2">
      <x:c r="A2" s="10" t="s">
        <x:v>32</x:v>
      </x:c>
      <x:c r="B2" s="10" t="s">
        <x:v>1</x:v>
      </x:c>
      <x:c r="C2" s="10" t="s">
        <x:v>1</x:v>
      </x:c>
      <x:c r="F2" s="10" t="s">
        <x:v>1</x:v>
      </x:c>
      <x:c r="G2" s="10" t="s">
        <x:v>1</x:v>
      </x:c>
      <x:c r="X2" s="10" t="s">
        <x:v>1</x:v>
      </x:c>
    </x:row>
    <x:row r="3">
      <x:c r="B3" s="10" t="s">
        <x:v>1</x:v>
      </x:c>
      <x:c r="C3" s="10" t="s">
        <x:v>1</x:v>
      </x:c>
      <x:c r="F3" s="10" t="s">
        <x:v>1</x:v>
      </x:c>
      <x:c r="G3" s="10" t="s">
        <x:v>1</x:v>
      </x:c>
      <x:c r="X3" s="10" t="s">
        <x:v>1</x:v>
      </x:c>
    </x:row>
    <x:row r="4">
      <x:c r="B4" s="10" t="s">
        <x:v>1</x:v>
      </x:c>
      <x:c r="C4" s="10" t="s">
        <x:v>1</x:v>
      </x:c>
      <x:c r="F4" s="10" t="s">
        <x:v>1</x:v>
      </x:c>
      <x:c r="G4" s="10" t="s">
        <x:v>1</x:v>
      </x:c>
      <x:c r="X4" s="10" t="s">
        <x:v>1</x:v>
      </x:c>
    </x:row>
    <x:row r="5">
      <x:c r="B5" s="10" t="s">
        <x:v>1</x:v>
      </x:c>
      <x:c r="C5" s="10" t="s">
        <x:v>1</x:v>
      </x:c>
      <x:c r="F5" s="10" t="s">
        <x:v>1</x:v>
      </x:c>
      <x:c r="G5" s="10" t="s">
        <x:v>1</x:v>
      </x:c>
      <x:c r="X5" s="10" t="s">
        <x:v>1</x:v>
      </x:c>
    </x:row>
    <x:row r="6">
      <x:c r="B6" s="10" t="s">
        <x:v>1</x:v>
      </x:c>
      <x:c r="C6" s="10" t="s">
        <x:v>1</x:v>
      </x:c>
      <x:c r="F6" s="10" t="s">
        <x:v>1</x:v>
      </x:c>
      <x:c r="G6" s="10" t="s">
        <x:v>1</x:v>
      </x:c>
      <x:c r="X6" s="10" t="s">
        <x:v>1</x:v>
      </x:c>
    </x:row>
    <x:row r="7">
      <x:c r="B7" s="10" t="s">
        <x:v>1</x:v>
      </x:c>
      <x:c r="C7" s="10" t="s">
        <x:v>1</x:v>
      </x:c>
      <x:c r="F7" s="10" t="s">
        <x:v>1</x:v>
      </x:c>
      <x:c r="G7" s="10" t="s">
        <x:v>1</x:v>
      </x:c>
      <x:c r="X7" s="10" t="s">
        <x:v>1</x:v>
      </x:c>
    </x:row>
    <x:row r="8">
      <x:c r="B8" s="10" t="s">
        <x:v>1</x:v>
      </x:c>
      <x:c r="C8" s="10" t="s">
        <x:v>1</x:v>
      </x:c>
      <x:c r="F8" s="10" t="s">
        <x:v>1</x:v>
      </x:c>
      <x:c r="G8" s="10" t="s">
        <x:v>1</x:v>
      </x:c>
      <x:c r="X8" s="10" t="s">
        <x:v>1</x:v>
      </x:c>
    </x:row>
    <x:row r="9" s="98" customFormat="1" ht="54" customHeight="1">
      <x:c r="A9" s="11" t="s">
        <x:v>3</x:v>
      </x:c>
      <x:c r="B9" s="12" t="s">
        <x:v>33</x:v>
      </x:c>
      <x:c r="C9" s="12" t="s">
        <x:v>54</x:v>
      </x:c>
      <x:c r="D9" s="13" t="s">
        <x:v>34</x:v>
      </x:c>
      <x:c r="E9" s="13" t="s">
        <x:v>35</x:v>
      </x:c>
      <x:c r="F9" s="14" t="s">
        <x:v>36</x:v>
      </x:c>
      <x:c r="G9" s="14" t="s">
        <x:v>37</x:v>
      </x:c>
      <x:c r="H9" s="11" t="s">
        <x:v>38</x:v>
      </x:c>
      <x:c r="I9" s="15" t="s">
        <x:v>39</x:v>
      </x:c>
      <x:c r="J9" s="16" t="s">
        <x:v>40</x:v>
      </x:c>
      <x:c r="K9" s="11" t="s">
        <x:v>41</x:v>
      </x:c>
      <x:c r="L9" s="17" t="s">
        <x:v>42</x:v>
      </x:c>
      <x:c r="M9" s="17" t="s">
        <x:v>43</x:v>
      </x:c>
      <x:c r="N9" s="11" t="s">
        <x:v>44</x:v>
      </x:c>
      <x:c r="O9" s="11" t="s">
        <x:v>45</x:v>
      </x:c>
      <x:c r="P9" s="11" t="s">
        <x:v>46</x:v>
      </x:c>
      <x:c r="Q9" s="11" t="s">
        <x:v>47</x:v>
      </x:c>
      <x:c r="R9" s="11" t="s">
        <x:v>48</x:v>
      </x:c>
      <x:c r="S9" s="11" t="s">
        <x:v>49</x:v>
      </x:c>
      <x:c r="T9" s="17" t="s">
        <x:v>50</x:v>
      </x:c>
      <x:c r="U9" s="17" t="s">
        <x:v>51</x:v>
      </x:c>
      <x:c r="V9" s="17" t="s">
        <x:v>52</x:v>
      </x:c>
      <x:c r="W9" s="17" t="s">
        <x:v>53</x:v>
      </x:c>
      <x:c r="X9" s="12" t="s">
        <x:v>54</x:v>
      </x:c>
      <x:c r="Y9" s="11" t="s">
        <x:v>55</x:v>
      </x:c>
    </x:row>
    <x:row r="10" s="98" customFormat="1" ht="22" customHeight="1">
      <x:c r="A10" s="7" t="s">
        <x:v>56</x:v>
      </x:c>
      <x:c r="B10" s="18" t="s">
        <x:v>57</x:v>
      </x:c>
      <x:c r="C10" s="18" t="s">
        <x:v>1</x:v>
      </x:c>
      <x:c r="D10" s="19">
        <x:v>10500</x:v>
      </x:c>
      <x:c r="E10" s="19" t="n">
        <x:f>=D10*0.6</x:f>
        <x:v>6300</x:v>
      </x:c>
      <x:c r="F10" s="20" t="s">
        <x:v>58</x:v>
      </x:c>
      <x:c r="G10" s="20" t="s">
        <x:v>58</x:v>
      </x:c>
      <x:c r="H10" s="6" t="s">
        <x:v>59</x:v>
      </x:c>
      <x:c r="I10" s="13" t="n">
        <x:f>=(E10)*(1)</x:f>
        <x:v>6300</x:v>
      </x:c>
      <x:c r="J10" s="21" t="e">
        <x:f>=ROUNDUP(D10*维护参数!$B$11/维护参数!$B$12*1000,0)</x:f>
        <x:v>#NAME?</x:v>
      </x:c>
      <x:c r="K10" s="6" t="s">
        <x:v>60</x:v>
      </x:c>
      <x:c r="L10" s="22" t="e">
        <x:f>=(MAX(维护参数!$B$4,ROUNDUP(J10/10000,0)))*(维护参数!$B$2)</x:f>
        <x:v>#NAME?</x:v>
      </x:c>
      <x:c r="M10" s="23" t="e">
        <x:f>=ROUNDUP(D10*维护参数!$B$16/维护参数!$B$15/1000,0)*1000</x:f>
        <x:v>#NAME?</x:v>
      </x:c>
      <x:c r="N10" s="23" t="e">
        <x:f>=ROUNDUP(D10*维护参数!$B$17/维护参数!$B$15/10,0)*10</x:f>
        <x:v>#NAME?</x:v>
      </x:c>
      <x:c r="O10" s="23" t="e">
        <x:f>=ROUNDUP(D10*维护参数!$B$18/维护参数!$B$15/10,0)*10</x:f>
        <x:v>#NAME?</x:v>
      </x:c>
      <x:c r="P10" s="23" t="e">
        <x:f>=ROUNDUP(D10*维护参数!$B$19/维护参数!$B$15/10,0)*10</x:f>
        <x:v>#NAME?</x:v>
      </x:c>
      <x:c r="Q10" s="24" t="e">
        <x:f>=M10/1000*维护参数!$B$6+N10*维护参数!$B$7+O10*维护参数!$B$8+P10*维护参数!$B$9</x:f>
        <x:v>#NAME?</x:v>
      </x:c>
      <x:c r="R10" s="22" t="e">
        <x:f>=SUM(L10,Q10)</x:f>
        <x:v>#NAME?</x:v>
      </x:c>
      <x:c r="S10" s="25" t="e">
        <x:f>=R10/I10</x:f>
        <x:v>#NAME?</x:v>
      </x:c>
      <x:c r="T10" s="22" t="e">
        <x:f>=I10-R10</x:f>
        <x:v>#NAME?</x:v>
      </x:c>
      <x:c r="U10" s="25" t="e">
        <x:f>=T10/(D10)</x:f>
        <x:v>#NAME?</x:v>
      </x:c>
      <x:c r="V10" s="22" t="e">
        <x:f>=T10*维护参数!$B$20</x:f>
        <x:v>#NAME?</x:v>
      </x:c>
      <x:c r="W10" s="25" t="e">
        <x:f>=V10/(D10)</x:f>
        <x:v>#NAME?</x:v>
      </x:c>
      <x:c r="X10" s="26" t="s">
        <x:v>61</x:v>
      </x:c>
      <x:c r="Y10" s="27" t="s">
        <x:v>62</x:v>
      </x:c>
    </x:row>
    <x:row r="11" s="98" customFormat="1" ht="22" customHeight="1">
      <x:c r="A11" s="7" t="s">
        <x:v>1</x:v>
      </x:c>
      <x:c r="B11" s="18" t="s">
        <x:v>1</x:v>
      </x:c>
      <x:c r="C11" s="18" t="s">
        <x:v>1</x:v>
      </x:c>
      <x:c r="D11" s="28" t="s">
        <x:v>1</x:v>
      </x:c>
      <x:c r="E11" s="28" t="s">
        <x:v>1</x:v>
      </x:c>
      <x:c r="F11" s="28" t="s">
        <x:v>1</x:v>
      </x:c>
      <x:c r="G11" s="28" t="s">
        <x:v>1</x:v>
      </x:c>
      <x:c r="H11" s="6" t="s">
        <x:v>63</x:v>
      </x:c>
      <x:c r="I11" s="13" t="e">
        <x:f>=(D10)*(维护参数!$B$10)</x:f>
        <x:v>#NAME?</x:v>
      </x:c>
      <x:c r="J11" s="29" t="s">
        <x:v>1</x:v>
      </x:c>
      <x:c r="K11" s="6" t="s">
        <x:v>64</x:v>
      </x:c>
      <x:c r="L11" s="22" t="e">
        <x:f>=(MAX(维护参数!$B$5,ROUNDUP(J10/10000,0)))*(维护参数!$B$3)</x:f>
        <x:v>#NAME?</x:v>
      </x:c>
      <x:c r="M11" s="30" t="s">
        <x:v>1</x:v>
      </x:c>
      <x:c r="N11" s="30" t="s">
        <x:v>1</x:v>
      </x:c>
      <x:c r="O11" s="30" t="s">
        <x:v>1</x:v>
      </x:c>
      <x:c r="P11" s="30" t="s">
        <x:v>1</x:v>
      </x:c>
      <x:c r="Q11" s="31" t="s">
        <x:v>1</x:v>
      </x:c>
      <x:c r="R11" s="22" t="e">
        <x:f>=SUM(L11,Q10)</x:f>
        <x:v>#NAME?</x:v>
      </x:c>
      <x:c r="S11" s="25" t="e">
        <x:f>=R11/I11</x:f>
        <x:v>#NAME?</x:v>
      </x:c>
      <x:c r="T11" s="22" t="e">
        <x:f>=I11-R11</x:f>
        <x:v>#NAME?</x:v>
      </x:c>
      <x:c r="U11" s="25" t="e">
        <x:f>=T11/(D10)</x:f>
        <x:v>#NAME?</x:v>
      </x:c>
      <x:c r="V11" s="22" t="e">
        <x:f>=T11*维护参数!$B$20</x:f>
        <x:v>#NAME?</x:v>
      </x:c>
      <x:c r="W11" s="32" t="e">
        <x:f>=V11/(D10)</x:f>
        <x:v>#NAME?</x:v>
      </x:c>
      <x:c r="X11" s="26" t="s">
        <x:v>1</x:v>
      </x:c>
      <x:c r="Y11" s="33" t="s">
        <x:v>1</x:v>
      </x:c>
    </x:row>
    <x:row r="12" s="98" customFormat="1" ht="22" customHeight="1">
      <x:c r="A12" s="7" t="s">
        <x:v>65</x:v>
      </x:c>
      <x:c r="B12" s="18" t="s">
        <x:v>66</x:v>
      </x:c>
      <x:c r="C12" s="18" t="s">
        <x:v>1</x:v>
      </x:c>
      <x:c r="D12" s="19">
        <x:v>11700</x:v>
      </x:c>
      <x:c r="E12" s="19" t="n">
        <x:f>=D12*0.6</x:f>
        <x:v>7020</x:v>
      </x:c>
      <x:c r="F12" s="20" t="s">
        <x:v>58</x:v>
      </x:c>
      <x:c r="G12" s="20" t="s">
        <x:v>58</x:v>
      </x:c>
      <x:c r="H12" s="6" t="s">
        <x:v>59</x:v>
      </x:c>
      <x:c r="I12" s="13" t="n">
        <x:f>=(E12)*(1)</x:f>
        <x:v>7020</x:v>
      </x:c>
      <x:c r="J12" s="21" t="e">
        <x:f>=ROUNDUP(D12*维护参数!$B$11/维护参数!$B$12*1000,0)</x:f>
        <x:v>#NAME?</x:v>
      </x:c>
      <x:c r="K12" s="6" t="s">
        <x:v>60</x:v>
      </x:c>
      <x:c r="L12" s="22" t="e">
        <x:f>=(MAX(维护参数!$B$4,ROUNDUP(J12/10000,0)))*(维护参数!$B$2)</x:f>
        <x:v>#NAME?</x:v>
      </x:c>
      <x:c r="M12" s="23" t="e">
        <x:f>=ROUNDUP(D12*维护参数!$B$16/维护参数!$B$15/1000,0)*1000</x:f>
        <x:v>#NAME?</x:v>
      </x:c>
      <x:c r="N12" s="23" t="e">
        <x:f>=ROUNDUP(D12*维护参数!$B$17/维护参数!$B$15/10,0)*10</x:f>
        <x:v>#NAME?</x:v>
      </x:c>
      <x:c r="O12" s="23" t="e">
        <x:f>=ROUNDUP(D12*维护参数!$B$18/维护参数!$B$15/10,0)*10</x:f>
        <x:v>#NAME?</x:v>
      </x:c>
      <x:c r="P12" s="23" t="e">
        <x:f>=ROUNDUP(D12*维护参数!$B$19/维护参数!$B$15/10,0)*10</x:f>
        <x:v>#NAME?</x:v>
      </x:c>
      <x:c r="Q12" s="24" t="e">
        <x:f>=M12/1000*维护参数!$B$6+N12*维护参数!$B$7+O12*维护参数!$B$8+P12*维护参数!$B$9</x:f>
        <x:v>#NAME?</x:v>
      </x:c>
      <x:c r="R12" s="22" t="e">
        <x:f>=SUM(L12,Q12)</x:f>
        <x:v>#NAME?</x:v>
      </x:c>
      <x:c r="S12" s="25" t="e">
        <x:f>=R12/I12</x:f>
        <x:v>#NAME?</x:v>
      </x:c>
      <x:c r="T12" s="22" t="e">
        <x:f>=I12-R12</x:f>
        <x:v>#NAME?</x:v>
      </x:c>
      <x:c r="U12" s="25" t="e">
        <x:f>=T12/(D12)</x:f>
        <x:v>#NAME?</x:v>
      </x:c>
      <x:c r="V12" s="22" t="e">
        <x:f>=T12*维护参数!$B$20</x:f>
        <x:v>#NAME?</x:v>
      </x:c>
      <x:c r="W12" s="25" t="e">
        <x:f>=V12/(D12)</x:f>
        <x:v>#NAME?</x:v>
      </x:c>
      <x:c r="X12" s="34" t="s">
        <x:v>67</x:v>
      </x:c>
      <x:c r="Y12" s="35" t="s">
        <x:v>68</x:v>
      </x:c>
    </x:row>
    <x:row r="13" s="98" customFormat="1" ht="22" customHeight="1">
      <x:c r="A13" s="7" t="s">
        <x:v>1</x:v>
      </x:c>
      <x:c r="B13" s="18" t="s">
        <x:v>1</x:v>
      </x:c>
      <x:c r="C13" s="18" t="s">
        <x:v>1</x:v>
      </x:c>
      <x:c r="D13" s="28" t="s">
        <x:v>1</x:v>
      </x:c>
      <x:c r="E13" s="28" t="s">
        <x:v>1</x:v>
      </x:c>
      <x:c r="F13" s="28" t="s">
        <x:v>1</x:v>
      </x:c>
      <x:c r="G13" s="28" t="s">
        <x:v>1</x:v>
      </x:c>
      <x:c r="H13" s="6" t="s">
        <x:v>63</x:v>
      </x:c>
      <x:c r="I13" s="13" t="e">
        <x:f>=(D12)*(维护参数!$B$10)</x:f>
        <x:v>#NAME?</x:v>
      </x:c>
      <x:c r="J13" s="29" t="s">
        <x:v>1</x:v>
      </x:c>
      <x:c r="K13" s="6" t="s">
        <x:v>64</x:v>
      </x:c>
      <x:c r="L13" s="22" t="e">
        <x:f>=(MAX(维护参数!$B$5,ROUNDUP(J12/10000,0)))*(维护参数!$B$3)</x:f>
        <x:v>#NAME?</x:v>
      </x:c>
      <x:c r="M13" s="30" t="s">
        <x:v>1</x:v>
      </x:c>
      <x:c r="N13" s="30" t="s">
        <x:v>1</x:v>
      </x:c>
      <x:c r="O13" s="30" t="s">
        <x:v>1</x:v>
      </x:c>
      <x:c r="P13" s="30" t="s">
        <x:v>1</x:v>
      </x:c>
      <x:c r="Q13" s="31" t="s">
        <x:v>1</x:v>
      </x:c>
      <x:c r="R13" s="22" t="e">
        <x:f>=SUM(L13,Q12)</x:f>
        <x:v>#NAME?</x:v>
      </x:c>
      <x:c r="S13" s="25" t="e">
        <x:f>=R13/I13</x:f>
        <x:v>#NAME?</x:v>
      </x:c>
      <x:c r="T13" s="22" t="e">
        <x:f>=I13-R13</x:f>
        <x:v>#NAME?</x:v>
      </x:c>
      <x:c r="U13" s="25" t="e">
        <x:f>=T13/(D12)</x:f>
        <x:v>#NAME?</x:v>
      </x:c>
      <x:c r="V13" s="22" t="e">
        <x:f>=T13*维护参数!$B$20</x:f>
        <x:v>#NAME?</x:v>
      </x:c>
      <x:c r="W13" s="32" t="e">
        <x:f>=V13/(D12)</x:f>
        <x:v>#NAME?</x:v>
      </x:c>
      <x:c r="X13" s="7" t="s">
        <x:v>1</x:v>
      </x:c>
      <x:c r="Y13" s="7" t="s">
        <x:v>1</x:v>
      </x:c>
    </x:row>
    <x:row r="14" s="98" customFormat="1" ht="22" customHeight="1">
      <x:c r="A14" s="7" t="s">
        <x:v>69</x:v>
      </x:c>
      <x:c r="B14" s="18" t="s">
        <x:v>66</x:v>
      </x:c>
      <x:c r="C14" s="18" t="s">
        <x:v>1</x:v>
      </x:c>
      <x:c r="D14" s="19">
        <x:v>6000</x:v>
      </x:c>
      <x:c r="E14" s="19" t="n">
        <x:f>=D14*0.6</x:f>
        <x:v>3600</x:v>
      </x:c>
      <x:c r="F14" s="36">
        <x:v>9000</x:v>
      </x:c>
      <x:c r="G14" s="36" t="n">
        <x:f>=F14*0.6</x:f>
        <x:v>5400</x:v>
      </x:c>
      <x:c r="H14" s="6" t="s">
        <x:v>59</x:v>
      </x:c>
      <x:c r="I14" s="13" t="n">
        <x:f>=(E14)*(1)</x:f>
        <x:v>3600</x:v>
      </x:c>
      <x:c r="J14" s="21" t="e">
        <x:f>=ROUNDUP(D14*维护参数!$B$11/维护参数!$B$12*1000,0)</x:f>
        <x:v>#NAME?</x:v>
      </x:c>
      <x:c r="K14" s="6" t="s">
        <x:v>60</x:v>
      </x:c>
      <x:c r="L14" s="22" t="e">
        <x:f>=(MAX(维护参数!$B$4,ROUNDUP(J14/10000,0)))*(维护参数!$B$2)</x:f>
        <x:v>#NAME?</x:v>
      </x:c>
      <x:c r="M14" s="23" t="e">
        <x:f>=ROUNDUP(D14*维护参数!$B$16/维护参数!$B$15/1000,0)*1000</x:f>
        <x:v>#NAME?</x:v>
      </x:c>
      <x:c r="N14" s="23" t="e">
        <x:f>=ROUNDUP(D14*维护参数!$B$17/维护参数!$B$15/10,0)*10</x:f>
        <x:v>#NAME?</x:v>
      </x:c>
      <x:c r="O14" s="23" t="e">
        <x:f>=ROUNDUP(D14*维护参数!$B$18/维护参数!$B$15/10,0)*10</x:f>
        <x:v>#NAME?</x:v>
      </x:c>
      <x:c r="P14" s="23" t="e">
        <x:f>=ROUNDUP(D14*维护参数!$B$19/维护参数!$B$15/10,0)*10</x:f>
        <x:v>#NAME?</x:v>
      </x:c>
      <x:c r="Q14" s="24" t="e">
        <x:f>=M14/1000*维护参数!$B$6+N14*维护参数!$B$7+O14*维护参数!$B$8+P14*维护参数!$B$9</x:f>
        <x:v>#NAME?</x:v>
      </x:c>
      <x:c r="R14" s="22" t="e">
        <x:f>=SUM(L14,Q14)</x:f>
        <x:v>#NAME?</x:v>
      </x:c>
      <x:c r="S14" s="25" t="e">
        <x:f>=R14/I14</x:f>
        <x:v>#NAME?</x:v>
      </x:c>
      <x:c r="T14" s="22" t="e">
        <x:f>=I14-R14</x:f>
        <x:v>#NAME?</x:v>
      </x:c>
      <x:c r="U14" s="25" t="e">
        <x:f>=T14/(D14)</x:f>
        <x:v>#NAME?</x:v>
      </x:c>
      <x:c r="V14" s="22" t="e">
        <x:f>=T14*维护参数!$B$20</x:f>
        <x:v>#NAME?</x:v>
      </x:c>
      <x:c r="W14" s="25" t="e">
        <x:f>=V14/(D14)</x:f>
        <x:v>#NAME?</x:v>
      </x:c>
      <x:c r="X14" s="7" t="s">
        <x:v>1</x:v>
      </x:c>
      <x:c r="Y14" s="7" t="s">
        <x:v>70</x:v>
      </x:c>
    </x:row>
    <x:row r="15" s="98" customFormat="1" ht="22" customHeight="1">
      <x:c r="A15" s="7" t="s">
        <x:v>1</x:v>
      </x:c>
      <x:c r="B15" s="18" t="s">
        <x:v>1</x:v>
      </x:c>
      <x:c r="C15" s="18" t="s">
        <x:v>1</x:v>
      </x:c>
      <x:c r="D15" s="28" t="s">
        <x:v>1</x:v>
      </x:c>
      <x:c r="E15" s="28" t="s">
        <x:v>1</x:v>
      </x:c>
      <x:c r="F15" s="28" t="s">
        <x:v>1</x:v>
      </x:c>
      <x:c r="G15" s="28" t="s">
        <x:v>1</x:v>
      </x:c>
      <x:c r="H15" s="6" t="s">
        <x:v>63</x:v>
      </x:c>
      <x:c r="I15" s="13" t="e">
        <x:f>=(D14)*(维护参数!$B$10)</x:f>
        <x:v>#NAME?</x:v>
      </x:c>
      <x:c r="J15" s="30" t="s">
        <x:v>1</x:v>
      </x:c>
      <x:c r="K15" s="6" t="s">
        <x:v>64</x:v>
      </x:c>
      <x:c r="L15" s="22" t="e">
        <x:f>=(MAX(维护参数!$B$5,ROUNDUP(J14/10000,0)))*(维护参数!$B$3)</x:f>
        <x:v>#NAME?</x:v>
      </x:c>
      <x:c r="M15" s="30" t="s">
        <x:v>1</x:v>
      </x:c>
      <x:c r="N15" s="30" t="s">
        <x:v>1</x:v>
      </x:c>
      <x:c r="O15" s="30" t="s">
        <x:v>1</x:v>
      </x:c>
      <x:c r="P15" s="30" t="s">
        <x:v>1</x:v>
      </x:c>
      <x:c r="Q15" s="31" t="s">
        <x:v>1</x:v>
      </x:c>
      <x:c r="R15" s="22" t="e">
        <x:f>=SUM(L15,Q14)</x:f>
        <x:v>#NAME?</x:v>
      </x:c>
      <x:c r="S15" s="25" t="e">
        <x:f>=R15/I15</x:f>
        <x:v>#NAME?</x:v>
      </x:c>
      <x:c r="T15" s="22" t="e">
        <x:f>=I15-R15</x:f>
        <x:v>#NAME?</x:v>
      </x:c>
      <x:c r="U15" s="25" t="e">
        <x:f>=T15/(D14)</x:f>
        <x:v>#NAME?</x:v>
      </x:c>
      <x:c r="V15" s="22" t="e">
        <x:f>=T15*维护参数!$B$20</x:f>
        <x:v>#NAME?</x:v>
      </x:c>
      <x:c r="W15" s="32" t="e">
        <x:f>=V15/(D14)</x:f>
        <x:v>#NAME?</x:v>
      </x:c>
      <x:c r="X15" s="7" t="s">
        <x:v>1</x:v>
      </x:c>
      <x:c r="Y15" s="7" t="s">
        <x:v>1</x:v>
      </x:c>
    </x:row>
    <x:row r="16" s="98" customFormat="1" ht="22" customHeight="1">
      <x:c r="A16" s="7" t="s">
        <x:v>71</x:v>
      </x:c>
      <x:c r="B16" s="18" t="s">
        <x:v>72</x:v>
      </x:c>
      <x:c r="C16" s="18" t="s">
        <x:v>1</x:v>
      </x:c>
      <x:c r="D16" s="19">
        <x:v>6250</x:v>
      </x:c>
      <x:c r="E16" s="19" t="n">
        <x:f>=D16*0.6</x:f>
        <x:v>3750</x:v>
      </x:c>
      <x:c r="F16" s="36">
        <x:v>7000</x:v>
      </x:c>
      <x:c r="G16" s="36" t="n">
        <x:f>=F16*0.6</x:f>
        <x:v>4200</x:v>
      </x:c>
      <x:c r="H16" s="6" t="s">
        <x:v>59</x:v>
      </x:c>
      <x:c r="I16" s="13" t="n">
        <x:f>=(E16)*(1)</x:f>
        <x:v>3750</x:v>
      </x:c>
      <x:c r="J16" s="21" t="e">
        <x:f>=ROUNDUP(D16*维护参数!$B$11/维护参数!$B$12*1000,0)</x:f>
        <x:v>#NAME?</x:v>
      </x:c>
      <x:c r="K16" s="6" t="s">
        <x:v>60</x:v>
      </x:c>
      <x:c r="L16" s="22" t="e">
        <x:f>=(MAX(维护参数!$B$4,ROUNDUP(J16/10000,0)))*(维护参数!$B$2)</x:f>
        <x:v>#NAME?</x:v>
      </x:c>
      <x:c r="M16" s="23" t="e">
        <x:f>=ROUNDUP(D16*维护参数!$B$16/维护参数!$B$15/1000,0)*1000</x:f>
        <x:v>#NAME?</x:v>
      </x:c>
      <x:c r="N16" s="23" t="e">
        <x:f>=ROUNDUP(D16*维护参数!$B$17/维护参数!$B$15/10,0)*10</x:f>
        <x:v>#NAME?</x:v>
      </x:c>
      <x:c r="O16" s="23" t="e">
        <x:f>=ROUNDUP(D16*维护参数!$B$18/维护参数!$B$15/10,0)*10</x:f>
        <x:v>#NAME?</x:v>
      </x:c>
      <x:c r="P16" s="23" t="e">
        <x:f>=ROUNDUP(D16*维护参数!$B$19/维护参数!$B$15/10,0)*10</x:f>
        <x:v>#NAME?</x:v>
      </x:c>
      <x:c r="Q16" s="24" t="e">
        <x:f>=M16/1000*维护参数!$B$6+N16*维护参数!$B$7+O16*维护参数!$B$8+P16*维护参数!$B$9</x:f>
        <x:v>#NAME?</x:v>
      </x:c>
      <x:c r="R16" s="22" t="e">
        <x:f>=SUM(L16,Q16)</x:f>
        <x:v>#NAME?</x:v>
      </x:c>
      <x:c r="S16" s="25" t="e">
        <x:f>=R16/I16</x:f>
        <x:v>#NAME?</x:v>
      </x:c>
      <x:c r="T16" s="22" t="e">
        <x:f>=I16-R16</x:f>
        <x:v>#NAME?</x:v>
      </x:c>
      <x:c r="U16" s="25" t="e">
        <x:f>=T16/(D16)</x:f>
        <x:v>#NAME?</x:v>
      </x:c>
      <x:c r="V16" s="22" t="e">
        <x:f>=T16*维护参数!$B$20</x:f>
        <x:v>#NAME?</x:v>
      </x:c>
      <x:c r="W16" s="25" t="e">
        <x:f>=V16/(D16)</x:f>
        <x:v>#NAME?</x:v>
      </x:c>
      <x:c r="X16" s="7" t="s">
        <x:v>1</x:v>
      </x:c>
      <x:c r="Y16" s="7" t="s">
        <x:v>73</x:v>
      </x:c>
    </x:row>
    <x:row r="17" s="98" customFormat="1" ht="22" customHeight="1">
      <x:c r="A17" s="7" t="s">
        <x:v>1</x:v>
      </x:c>
      <x:c r="B17" s="18" t="s">
        <x:v>1</x:v>
      </x:c>
      <x:c r="C17" s="18" t="s">
        <x:v>1</x:v>
      </x:c>
      <x:c r="D17" s="28" t="s">
        <x:v>1</x:v>
      </x:c>
      <x:c r="E17" s="28" t="s">
        <x:v>1</x:v>
      </x:c>
      <x:c r="F17" s="28" t="s">
        <x:v>1</x:v>
      </x:c>
      <x:c r="G17" s="28" t="s">
        <x:v>1</x:v>
      </x:c>
      <x:c r="H17" s="6" t="s">
        <x:v>63</x:v>
      </x:c>
      <x:c r="I17" s="13" t="e">
        <x:f>=(D16)*(维护参数!$B$10)</x:f>
        <x:v>#NAME?</x:v>
      </x:c>
      <x:c r="J17" s="30" t="s">
        <x:v>1</x:v>
      </x:c>
      <x:c r="K17" s="6" t="s">
        <x:v>64</x:v>
      </x:c>
      <x:c r="L17" s="22" t="e">
        <x:f>=(MAX(维护参数!$B$5,ROUNDUP(J16/10000,0)))*(维护参数!$B$3)</x:f>
        <x:v>#NAME?</x:v>
      </x:c>
      <x:c r="M17" s="30" t="s">
        <x:v>1</x:v>
      </x:c>
      <x:c r="N17" s="30" t="s">
        <x:v>1</x:v>
      </x:c>
      <x:c r="O17" s="30" t="s">
        <x:v>1</x:v>
      </x:c>
      <x:c r="P17" s="30" t="s">
        <x:v>1</x:v>
      </x:c>
      <x:c r="Q17" s="31" t="s">
        <x:v>1</x:v>
      </x:c>
      <x:c r="R17" s="22" t="e">
        <x:f>=SUM(L17,Q16)</x:f>
        <x:v>#NAME?</x:v>
      </x:c>
      <x:c r="S17" s="25" t="e">
        <x:f>=R17/I17</x:f>
        <x:v>#NAME?</x:v>
      </x:c>
      <x:c r="T17" s="22" t="e">
        <x:f>=I17-R17</x:f>
        <x:v>#NAME?</x:v>
      </x:c>
      <x:c r="U17" s="25" t="e">
        <x:f>=T17/(D16)</x:f>
        <x:v>#NAME?</x:v>
      </x:c>
      <x:c r="V17" s="22" t="e">
        <x:f>=T17*维护参数!$B$20</x:f>
        <x:v>#NAME?</x:v>
      </x:c>
      <x:c r="W17" s="32" t="e">
        <x:f>=V17/(D16)</x:f>
        <x:v>#NAME?</x:v>
      </x:c>
      <x:c r="X17" s="7" t="s">
        <x:v>1</x:v>
      </x:c>
      <x:c r="Y17" s="7" t="s">
        <x:v>1</x:v>
      </x:c>
    </x:row>
    <x:row r="18" s="98" customFormat="1" ht="22" customHeight="1">
      <x:c r="A18" s="7" t="s">
        <x:v>74</x:v>
      </x:c>
      <x:c r="B18" s="18" t="s">
        <x:v>75</x:v>
      </x:c>
      <x:c r="C18" s="18" t="s">
        <x:v>1</x:v>
      </x:c>
      <x:c r="D18" s="19">
        <x:v>8750</x:v>
      </x:c>
      <x:c r="E18" s="19" t="n">
        <x:f>=D18*0.6</x:f>
        <x:v>5250</x:v>
      </x:c>
      <x:c r="F18" s="36">
        <x:v>10000</x:v>
      </x:c>
      <x:c r="G18" s="36" t="n">
        <x:f>=F18*0.6</x:f>
        <x:v>6000</x:v>
      </x:c>
      <x:c r="H18" s="6" t="s">
        <x:v>59</x:v>
      </x:c>
      <x:c r="I18" s="13" t="n">
        <x:f>=(E18)*(1)</x:f>
        <x:v>5250</x:v>
      </x:c>
      <x:c r="J18" s="21" t="e">
        <x:f>=ROUNDUP(D18*维护参数!$B$11/维护参数!$B$12*1000,0)</x:f>
        <x:v>#NAME?</x:v>
      </x:c>
      <x:c r="K18" s="6" t="s">
        <x:v>60</x:v>
      </x:c>
      <x:c r="L18" s="22" t="e">
        <x:f>=(MAX(维护参数!$B$4,ROUNDUP(J18/10000,0)))*(维护参数!$B$2)</x:f>
        <x:v>#NAME?</x:v>
      </x:c>
      <x:c r="M18" s="23" t="e">
        <x:f>=ROUNDUP(D18*维护参数!$B$16/维护参数!$B$15/1000,0)*1000</x:f>
        <x:v>#NAME?</x:v>
      </x:c>
      <x:c r="N18" s="23" t="e">
        <x:f>=ROUNDUP(D18*维护参数!$B$17/维护参数!$B$15/10,0)*10</x:f>
        <x:v>#NAME?</x:v>
      </x:c>
      <x:c r="O18" s="23" t="e">
        <x:f>=ROUNDUP(D18*维护参数!$B$18/维护参数!$B$15/10,0)*10</x:f>
        <x:v>#NAME?</x:v>
      </x:c>
      <x:c r="P18" s="23" t="e">
        <x:f>=ROUNDUP(D18*维护参数!$B$19/维护参数!$B$15/10,0)*10</x:f>
        <x:v>#NAME?</x:v>
      </x:c>
      <x:c r="Q18" s="24" t="e">
        <x:f>=M18/1000*维护参数!$B$6+N18*维护参数!$B$7+O18*维护参数!$B$8+P18*维护参数!$B$9</x:f>
        <x:v>#NAME?</x:v>
      </x:c>
      <x:c r="R18" s="22" t="e">
        <x:f>=SUM(L18,Q18)</x:f>
        <x:v>#NAME?</x:v>
      </x:c>
      <x:c r="S18" s="25" t="e">
        <x:f>=R18/I18</x:f>
        <x:v>#NAME?</x:v>
      </x:c>
      <x:c r="T18" s="22" t="e">
        <x:f>=I18-R18</x:f>
        <x:v>#NAME?</x:v>
      </x:c>
      <x:c r="U18" s="25" t="e">
        <x:f>=T18/(D18)</x:f>
        <x:v>#NAME?</x:v>
      </x:c>
      <x:c r="V18" s="22" t="e">
        <x:f>=T18*维护参数!$B$20</x:f>
        <x:v>#NAME?</x:v>
      </x:c>
      <x:c r="W18" s="25" t="e">
        <x:f>=V18/(D18)</x:f>
        <x:v>#NAME?</x:v>
      </x:c>
      <x:c r="X18" s="7" t="s">
        <x:v>76</x:v>
      </x:c>
      <x:c r="Y18" s="7" t="s">
        <x:v>77</x:v>
      </x:c>
    </x:row>
    <x:row r="19" s="98" customFormat="1" ht="22" customHeight="1">
      <x:c r="A19" s="7" t="s">
        <x:v>1</x:v>
      </x:c>
      <x:c r="B19" s="18" t="s">
        <x:v>1</x:v>
      </x:c>
      <x:c r="C19" s="18" t="s">
        <x:v>1</x:v>
      </x:c>
      <x:c r="D19" s="28" t="s">
        <x:v>1</x:v>
      </x:c>
      <x:c r="E19" s="28" t="s">
        <x:v>1</x:v>
      </x:c>
      <x:c r="F19" s="28" t="s">
        <x:v>1</x:v>
      </x:c>
      <x:c r="G19" s="28" t="s">
        <x:v>1</x:v>
      </x:c>
      <x:c r="H19" s="6" t="s">
        <x:v>63</x:v>
      </x:c>
      <x:c r="I19" s="13" t="e">
        <x:f>=(D18)*(维护参数!$B$10)</x:f>
        <x:v>#NAME?</x:v>
      </x:c>
      <x:c r="J19" s="30" t="s">
        <x:v>1</x:v>
      </x:c>
      <x:c r="K19" s="6" t="s">
        <x:v>64</x:v>
      </x:c>
      <x:c r="L19" s="22" t="e">
        <x:f>=(MAX(维护参数!$B$5,ROUNDUP(J18/10000,0)))*(维护参数!$B$3)</x:f>
        <x:v>#NAME?</x:v>
      </x:c>
      <x:c r="M19" s="30" t="s">
        <x:v>1</x:v>
      </x:c>
      <x:c r="N19" s="30" t="s">
        <x:v>1</x:v>
      </x:c>
      <x:c r="O19" s="30" t="s">
        <x:v>1</x:v>
      </x:c>
      <x:c r="P19" s="30" t="s">
        <x:v>1</x:v>
      </x:c>
      <x:c r="Q19" s="31" t="s">
        <x:v>1</x:v>
      </x:c>
      <x:c r="R19" s="22" t="e">
        <x:f>=SUM(L19,Q18)</x:f>
        <x:v>#NAME?</x:v>
      </x:c>
      <x:c r="S19" s="25" t="e">
        <x:f>=R19/I19</x:f>
        <x:v>#NAME?</x:v>
      </x:c>
      <x:c r="T19" s="22" t="e">
        <x:f>=I19-R19</x:f>
        <x:v>#NAME?</x:v>
      </x:c>
      <x:c r="U19" s="25" t="e">
        <x:f>=T19/(D18)</x:f>
        <x:v>#NAME?</x:v>
      </x:c>
      <x:c r="V19" s="22" t="e">
        <x:f>=T19*维护参数!$B$20</x:f>
        <x:v>#NAME?</x:v>
      </x:c>
      <x:c r="W19" s="32" t="e">
        <x:f>=V19/(D18)</x:f>
        <x:v>#NAME?</x:v>
      </x:c>
      <x:c r="X19" s="7" t="s">
        <x:v>1</x:v>
      </x:c>
      <x:c r="Y19" s="7" t="s">
        <x:v>1</x:v>
      </x:c>
    </x:row>
    <x:row r="20" s="98" customFormat="1" ht="22" customHeight="1">
      <x:c r="A20" s="7" t="s">
        <x:v>78</x:v>
      </x:c>
      <x:c r="B20" s="18" t="s">
        <x:v>75</x:v>
      </x:c>
      <x:c r="C20" s="18" t="s">
        <x:v>1</x:v>
      </x:c>
      <x:c r="D20" s="19">
        <x:v>6000</x:v>
      </x:c>
      <x:c r="E20" s="19" t="n">
        <x:f>=D20*0.6</x:f>
        <x:v>3600</x:v>
      </x:c>
      <x:c r="F20" s="36">
        <x:v>8000</x:v>
      </x:c>
      <x:c r="G20" s="36" t="n">
        <x:f>=F20*0.6</x:f>
        <x:v>4800</x:v>
      </x:c>
      <x:c r="H20" s="6" t="s">
        <x:v>59</x:v>
      </x:c>
      <x:c r="I20" s="13" t="n">
        <x:f>=(E20)*(1)</x:f>
        <x:v>3600</x:v>
      </x:c>
      <x:c r="J20" s="21" t="e">
        <x:f>=ROUNDUP(D20*维护参数!$B$11/维护参数!$B$12*1000,0)</x:f>
        <x:v>#NAME?</x:v>
      </x:c>
      <x:c r="K20" s="6" t="s">
        <x:v>60</x:v>
      </x:c>
      <x:c r="L20" s="22" t="e">
        <x:f>=(MAX(维护参数!$B$4,ROUNDUP(J20/10000,0)))*(维护参数!$B$2)</x:f>
        <x:v>#NAME?</x:v>
      </x:c>
      <x:c r="M20" s="23" t="e">
        <x:f>=ROUNDUP(D20*维护参数!$B$16/维护参数!$B$15/1000,0)*1000</x:f>
        <x:v>#NAME?</x:v>
      </x:c>
      <x:c r="N20" s="23" t="e">
        <x:f>=ROUNDUP(D20*维护参数!$B$17/维护参数!$B$15/10,0)*10</x:f>
        <x:v>#NAME?</x:v>
      </x:c>
      <x:c r="O20" s="23" t="e">
        <x:f>=ROUNDUP(D20*维护参数!$B$18/维护参数!$B$15/10,0)*10</x:f>
        <x:v>#NAME?</x:v>
      </x:c>
      <x:c r="P20" s="23" t="e">
        <x:f>=ROUNDUP(D20*维护参数!$B$19/维护参数!$B$15/10,0)*10</x:f>
        <x:v>#NAME?</x:v>
      </x:c>
      <x:c r="Q20" s="24" t="e">
        <x:f>=M20/1000*维护参数!$B$6+N20*维护参数!$B$7+O20*维护参数!$B$8+P20*维护参数!$B$9</x:f>
        <x:v>#NAME?</x:v>
      </x:c>
      <x:c r="R20" s="22" t="e">
        <x:f>=SUM(L20,Q20)</x:f>
        <x:v>#NAME?</x:v>
      </x:c>
      <x:c r="S20" s="25" t="e">
        <x:f>=R20/I20</x:f>
        <x:v>#NAME?</x:v>
      </x:c>
      <x:c r="T20" s="22" t="e">
        <x:f>=I20-R20</x:f>
        <x:v>#NAME?</x:v>
      </x:c>
      <x:c r="U20" s="25" t="e">
        <x:f>=T20/(D20)</x:f>
        <x:v>#NAME?</x:v>
      </x:c>
      <x:c r="V20" s="22" t="e">
        <x:f>=T20*维护参数!$B$20</x:f>
        <x:v>#NAME?</x:v>
      </x:c>
      <x:c r="W20" s="25" t="e">
        <x:f>=V20/(D20)</x:f>
        <x:v>#NAME?</x:v>
      </x:c>
      <x:c r="X20" s="7" t="s">
        <x:v>1</x:v>
      </x:c>
      <x:c r="Y20" s="7" t="s">
        <x:v>79</x:v>
      </x:c>
    </x:row>
    <x:row r="21" s="98" customFormat="1" ht="22" customHeight="1">
      <x:c r="A21" s="7" t="s">
        <x:v>1</x:v>
      </x:c>
      <x:c r="B21" s="18" t="s">
        <x:v>1</x:v>
      </x:c>
      <x:c r="C21" s="18" t="s">
        <x:v>1</x:v>
      </x:c>
      <x:c r="D21" s="28" t="s">
        <x:v>1</x:v>
      </x:c>
      <x:c r="E21" s="28" t="s">
        <x:v>1</x:v>
      </x:c>
      <x:c r="F21" s="28" t="s">
        <x:v>1</x:v>
      </x:c>
      <x:c r="G21" s="28" t="s">
        <x:v>1</x:v>
      </x:c>
      <x:c r="H21" s="6" t="s">
        <x:v>63</x:v>
      </x:c>
      <x:c r="I21" s="13" t="e">
        <x:f>=(D20)*(维护参数!$B$10)</x:f>
        <x:v>#NAME?</x:v>
      </x:c>
      <x:c r="J21" s="30" t="s">
        <x:v>1</x:v>
      </x:c>
      <x:c r="K21" s="6" t="s">
        <x:v>64</x:v>
      </x:c>
      <x:c r="L21" s="22" t="e">
        <x:f>=(MAX(维护参数!$B$5,ROUNDUP(J20/10000,0)))*(维护参数!$B$3)</x:f>
        <x:v>#NAME?</x:v>
      </x:c>
      <x:c r="M21" s="30" t="s">
        <x:v>1</x:v>
      </x:c>
      <x:c r="N21" s="30" t="s">
        <x:v>1</x:v>
      </x:c>
      <x:c r="O21" s="30" t="s">
        <x:v>1</x:v>
      </x:c>
      <x:c r="P21" s="30" t="s">
        <x:v>1</x:v>
      </x:c>
      <x:c r="Q21" s="31" t="s">
        <x:v>1</x:v>
      </x:c>
      <x:c r="R21" s="22" t="e">
        <x:f>=SUM(L21,Q20)</x:f>
        <x:v>#NAME?</x:v>
      </x:c>
      <x:c r="S21" s="25" t="e">
        <x:f>=R21/I21</x:f>
        <x:v>#NAME?</x:v>
      </x:c>
      <x:c r="T21" s="22" t="e">
        <x:f>=I21-R21</x:f>
        <x:v>#NAME?</x:v>
      </x:c>
      <x:c r="U21" s="25" t="e">
        <x:f>=T21/(D20)</x:f>
        <x:v>#NAME?</x:v>
      </x:c>
      <x:c r="V21" s="22" t="e">
        <x:f>=T21*维护参数!$B$20</x:f>
        <x:v>#NAME?</x:v>
      </x:c>
      <x:c r="W21" s="32" t="e">
        <x:f>=V21/(D20)</x:f>
        <x:v>#NAME?</x:v>
      </x:c>
      <x:c r="X21" s="7" t="s">
        <x:v>1</x:v>
      </x:c>
      <x:c r="Y21" s="7" t="s">
        <x:v>1</x:v>
      </x:c>
    </x:row>
    <x:row r="22" s="98" customFormat="1" ht="22" customHeight="1">
      <x:c r="A22" s="18" t="s">
        <x:v>80</x:v>
      </x:c>
      <x:c r="B22" s="18" t="s">
        <x:v>81</x:v>
      </x:c>
      <x:c r="C22" s="18" t="s">
        <x:v>82</x:v>
      </x:c>
      <x:c r="D22" s="19">
        <x:v>6000</x:v>
      </x:c>
      <x:c r="E22" s="19" t="n">
        <x:f>=D22*0.6</x:f>
        <x:v>3600</x:v>
      </x:c>
      <x:c r="F22" s="20" t="s">
        <x:v>58</x:v>
      </x:c>
      <x:c r="G22" s="20" t="s">
        <x:v>58</x:v>
      </x:c>
      <x:c r="H22" s="6" t="s">
        <x:v>59</x:v>
      </x:c>
      <x:c r="I22" s="13" t="n">
        <x:f>=(E22)*(1)</x:f>
        <x:v>3600</x:v>
      </x:c>
      <x:c r="J22" s="21" t="e">
        <x:f>=ROUNDUP(D22*维护参数!$B$11/维护参数!$B$12*1000,0)</x:f>
        <x:v>#NAME?</x:v>
      </x:c>
      <x:c r="K22" s="6" t="s">
        <x:v>60</x:v>
      </x:c>
      <x:c r="L22" s="22" t="e">
        <x:f>=(MAX(维护参数!$B$4,ROUNDUP(J22/10000,0)))*(维护参数!$B$2)</x:f>
        <x:v>#NAME?</x:v>
      </x:c>
      <x:c r="M22" s="23" t="e">
        <x:f>=ROUNDUP(D22*维护参数!$B$16/维护参数!$B$15/1000,0)*1000</x:f>
        <x:v>#NAME?</x:v>
      </x:c>
      <x:c r="N22" s="23" t="e">
        <x:f>=ROUNDUP(D22*维护参数!$B$17/维护参数!$B$15/10,0)*10</x:f>
        <x:v>#NAME?</x:v>
      </x:c>
      <x:c r="O22" s="23" t="e">
        <x:f>=ROUNDUP(D22*维护参数!$B$18/维护参数!$B$15/10,0)*10</x:f>
        <x:v>#NAME?</x:v>
      </x:c>
      <x:c r="P22" s="23" t="e">
        <x:f>=ROUNDUP(D22*维护参数!$B$19/维护参数!$B$15/10,0)*10</x:f>
        <x:v>#NAME?</x:v>
      </x:c>
      <x:c r="Q22" s="24" t="e">
        <x:f>=M22/1000*维护参数!$B$6+N22*维护参数!$B$7+O22*维护参数!$B$8+P22*维护参数!$B$9</x:f>
        <x:v>#NAME?</x:v>
      </x:c>
      <x:c r="R22" s="22" t="e">
        <x:f>=SUM(L22,Q22)</x:f>
        <x:v>#NAME?</x:v>
      </x:c>
      <x:c r="S22" s="25" t="e">
        <x:f>=R22/I22</x:f>
        <x:v>#NAME?</x:v>
      </x:c>
      <x:c r="T22" s="22" t="e">
        <x:f>=I22-R22</x:f>
        <x:v>#NAME?</x:v>
      </x:c>
      <x:c r="U22" s="25" t="e">
        <x:f>=T22/(D22)</x:f>
        <x:v>#NAME?</x:v>
      </x:c>
      <x:c r="V22" s="22" t="e">
        <x:f>=T22*维护参数!$B$20</x:f>
        <x:v>#NAME?</x:v>
      </x:c>
      <x:c r="W22" s="25" t="e">
        <x:f>=V22/(D22)</x:f>
        <x:v>#NAME?</x:v>
      </x:c>
      <x:c r="X22" s="7" t="s">
        <x:v>82</x:v>
      </x:c>
      <x:c r="Y22" s="7" t="s">
        <x:v>83</x:v>
      </x:c>
    </x:row>
    <x:row r="23" s="98" customFormat="1" ht="22" customHeight="1">
      <x:c r="A23" s="7" t="s">
        <x:v>1</x:v>
      </x:c>
      <x:c r="B23" s="18" t="s">
        <x:v>1</x:v>
      </x:c>
      <x:c r="C23" s="18" t="s">
        <x:v>1</x:v>
      </x:c>
      <x:c r="D23" s="28" t="s">
        <x:v>1</x:v>
      </x:c>
      <x:c r="E23" s="28" t="s">
        <x:v>1</x:v>
      </x:c>
      <x:c r="F23" s="28" t="s">
        <x:v>1</x:v>
      </x:c>
      <x:c r="G23" s="28" t="s">
        <x:v>1</x:v>
      </x:c>
      <x:c r="H23" s="6" t="s">
        <x:v>63</x:v>
      </x:c>
      <x:c r="I23" s="13" t="e">
        <x:f>=(D22)*(维护参数!$B$10)</x:f>
        <x:v>#NAME?</x:v>
      </x:c>
      <x:c r="J23" s="30" t="s">
        <x:v>1</x:v>
      </x:c>
      <x:c r="K23" s="6" t="s">
        <x:v>64</x:v>
      </x:c>
      <x:c r="L23" s="22" t="e">
        <x:f>=(MAX(维护参数!$B$5,ROUNDUP(J22/10000,0)))*(维护参数!$B$3)</x:f>
        <x:v>#NAME?</x:v>
      </x:c>
      <x:c r="M23" s="30" t="s">
        <x:v>1</x:v>
      </x:c>
      <x:c r="N23" s="30" t="s">
        <x:v>1</x:v>
      </x:c>
      <x:c r="O23" s="30" t="s">
        <x:v>1</x:v>
      </x:c>
      <x:c r="P23" s="30" t="s">
        <x:v>1</x:v>
      </x:c>
      <x:c r="Q23" s="31" t="s">
        <x:v>1</x:v>
      </x:c>
      <x:c r="R23" s="22" t="e">
        <x:f>=SUM(L23,Q22)</x:f>
        <x:v>#NAME?</x:v>
      </x:c>
      <x:c r="S23" s="25" t="e">
        <x:f>=R23/I23</x:f>
        <x:v>#NAME?</x:v>
      </x:c>
      <x:c r="T23" s="22" t="e">
        <x:f>=I23-R23</x:f>
        <x:v>#NAME?</x:v>
      </x:c>
      <x:c r="U23" s="25" t="e">
        <x:f>=T23/(D22)</x:f>
        <x:v>#NAME?</x:v>
      </x:c>
      <x:c r="V23" s="22" t="e">
        <x:f>=T23*维护参数!$B$20</x:f>
        <x:v>#NAME?</x:v>
      </x:c>
      <x:c r="W23" s="32" t="e">
        <x:f>=V23/(D22)</x:f>
        <x:v>#NAME?</x:v>
      </x:c>
      <x:c r="X23" s="7" t="s">
        <x:v>1</x:v>
      </x:c>
      <x:c r="Y23" s="7" t="s">
        <x:v>1</x:v>
      </x:c>
    </x:row>
    <x:row r="24" s="98" customFormat="1" ht="22" customHeight="1">
      <x:c r="A24" s="7" t="s">
        <x:v>84</x:v>
      </x:c>
      <x:c r="B24" s="18" t="s">
        <x:v>85</x:v>
      </x:c>
      <x:c r="C24" s="18" t="s">
        <x:v>123</x:v>
      </x:c>
      <x:c r="D24" s="19">
        <x:v>6000</x:v>
      </x:c>
      <x:c r="E24" s="19" t="n">
        <x:f>=D24*0.6</x:f>
        <x:v>3600</x:v>
      </x:c>
      <x:c r="F24" s="36">
        <x:v>8000</x:v>
      </x:c>
      <x:c r="G24" s="36" t="n">
        <x:f>=F24*0.6</x:f>
        <x:v>4800</x:v>
      </x:c>
      <x:c r="H24" s="6" t="s">
        <x:v>59</x:v>
      </x:c>
      <x:c r="I24" s="13" t="n">
        <x:f>=(E24)*(1)</x:f>
        <x:v>3600</x:v>
      </x:c>
      <x:c r="J24" s="21" t="e">
        <x:f>=ROUNDUP(D24*维护参数!$B$11/维护参数!$B$12*1000,0)</x:f>
        <x:v>#NAME?</x:v>
      </x:c>
      <x:c r="K24" s="6" t="s">
        <x:v>60</x:v>
      </x:c>
      <x:c r="L24" s="22" t="e">
        <x:f>=(MAX(维护参数!$B$4,ROUNDUP(J24/10000,0)))*(维护参数!$B$2)</x:f>
        <x:v>#NAME?</x:v>
      </x:c>
      <x:c r="M24" s="23" t="e">
        <x:f>=ROUNDUP(D24*维护参数!$B$16/维护参数!$B$15/1000,0)*1000</x:f>
        <x:v>#NAME?</x:v>
      </x:c>
      <x:c r="N24" s="23" t="e">
        <x:f>=ROUNDUP(D24*维护参数!$B$17/维护参数!$B$15/10,0)*10</x:f>
        <x:v>#NAME?</x:v>
      </x:c>
      <x:c r="O24" s="23" t="e">
        <x:f>=ROUNDUP(D24*维护参数!$B$18/维护参数!$B$15/10,0)*10</x:f>
        <x:v>#NAME?</x:v>
      </x:c>
      <x:c r="P24" s="23" t="e">
        <x:f>=ROUNDUP(D24*维护参数!$B$19/维护参数!$B$15/10,0)*10</x:f>
        <x:v>#NAME?</x:v>
      </x:c>
      <x:c r="Q24" s="24" t="e">
        <x:f>=M24/1000*维护参数!$B$6+N24*维护参数!$B$7+O24*维护参数!$B$8+P24*维护参数!$B$9</x:f>
        <x:v>#NAME?</x:v>
      </x:c>
      <x:c r="R24" s="22" t="e">
        <x:f>=SUM(L24,Q24)</x:f>
        <x:v>#NAME?</x:v>
      </x:c>
      <x:c r="S24" s="25" t="e">
        <x:f>=R24/I24</x:f>
        <x:v>#NAME?</x:v>
      </x:c>
      <x:c r="T24" s="22" t="e">
        <x:f>=I24-R24</x:f>
        <x:v>#NAME?</x:v>
      </x:c>
      <x:c r="U24" s="25" t="e">
        <x:f>=T24/(D24)</x:f>
        <x:v>#NAME?</x:v>
      </x:c>
      <x:c r="V24" s="22" t="e">
        <x:f>=T24*维护参数!$B$20</x:f>
        <x:v>#NAME?</x:v>
      </x:c>
      <x:c r="W24" s="25" t="e">
        <x:f>=V24/(D24)</x:f>
        <x:v>#NAME?</x:v>
      </x:c>
      <x:c r="X24" s="7" t="s">
        <x:v>86</x:v>
      </x:c>
      <x:c r="Y24" s="7" t="s">
        <x:v>87</x:v>
      </x:c>
    </x:row>
    <x:row r="25" s="98" customFormat="1" ht="22" customHeight="1">
      <x:c r="A25" s="7" t="s">
        <x:v>1</x:v>
      </x:c>
      <x:c r="B25" s="18" t="s">
        <x:v>1</x:v>
      </x:c>
      <x:c r="C25" s="18" t="s">
        <x:v>1</x:v>
      </x:c>
      <x:c r="D25" s="28" t="s">
        <x:v>1</x:v>
      </x:c>
      <x:c r="E25" s="28" t="s">
        <x:v>1</x:v>
      </x:c>
      <x:c r="F25" s="28" t="s">
        <x:v>1</x:v>
      </x:c>
      <x:c r="G25" s="28" t="s">
        <x:v>1</x:v>
      </x:c>
      <x:c r="H25" s="6" t="s">
        <x:v>63</x:v>
      </x:c>
      <x:c r="I25" s="13" t="e">
        <x:f>=(D24)*(维护参数!$B$10)</x:f>
        <x:v>#NAME?</x:v>
      </x:c>
      <x:c r="J25" s="30" t="s">
        <x:v>1</x:v>
      </x:c>
      <x:c r="K25" s="6" t="s">
        <x:v>64</x:v>
      </x:c>
      <x:c r="L25" s="22" t="e">
        <x:f>=(MAX(维护参数!$B$5,ROUNDUP(J24/10000,0)))*(维护参数!$B$3)</x:f>
        <x:v>#NAME?</x:v>
      </x:c>
      <x:c r="M25" s="30" t="s">
        <x:v>1</x:v>
      </x:c>
      <x:c r="N25" s="30" t="s">
        <x:v>1</x:v>
      </x:c>
      <x:c r="O25" s="30" t="s">
        <x:v>1</x:v>
      </x:c>
      <x:c r="P25" s="30" t="s">
        <x:v>1</x:v>
      </x:c>
      <x:c r="Q25" s="31" t="s">
        <x:v>1</x:v>
      </x:c>
      <x:c r="R25" s="22" t="e">
        <x:f>=SUM(L25,Q24)</x:f>
        <x:v>#NAME?</x:v>
      </x:c>
      <x:c r="S25" s="25" t="e">
        <x:f>=R25/I25</x:f>
        <x:v>#NAME?</x:v>
      </x:c>
      <x:c r="T25" s="22" t="e">
        <x:f>=I25-R25</x:f>
        <x:v>#NAME?</x:v>
      </x:c>
      <x:c r="U25" s="25" t="e">
        <x:f>=T25/(D24)</x:f>
        <x:v>#NAME?</x:v>
      </x:c>
      <x:c r="V25" s="22" t="e">
        <x:f>=T25*维护参数!$B$20</x:f>
        <x:v>#NAME?</x:v>
      </x:c>
      <x:c r="W25" s="32" t="e">
        <x:f>=V25/(D24)</x:f>
        <x:v>#NAME?</x:v>
      </x:c>
      <x:c r="X25" s="7" t="s">
        <x:v>1</x:v>
      </x:c>
      <x:c r="Y25" s="7" t="s">
        <x:v>1</x:v>
      </x:c>
    </x:row>
    <x:row r="26" s="98" customFormat="1" ht="22" customHeight="1">
      <x:c r="A26" s="7" t="s">
        <x:v>88</x:v>
      </x:c>
      <x:c r="B26" s="18" t="s">
        <x:v>85</x:v>
      </x:c>
      <x:c r="C26" s="18" t="s">
        <x:v>1</x:v>
      </x:c>
      <x:c r="D26" s="19">
        <x:v>4800</x:v>
      </x:c>
      <x:c r="E26" s="19" t="n">
        <x:f>=D26*0.6</x:f>
        <x:v>2880</x:v>
      </x:c>
      <x:c r="F26" s="36">
        <x:v>6000</x:v>
      </x:c>
      <x:c r="G26" s="36" t="n">
        <x:f>=F26*0.6</x:f>
        <x:v>3600</x:v>
      </x:c>
      <x:c r="H26" s="6" t="s">
        <x:v>59</x:v>
      </x:c>
      <x:c r="I26" s="13" t="n">
        <x:f>=(E26)*(1)</x:f>
        <x:v>2880</x:v>
      </x:c>
      <x:c r="J26" s="21" t="e">
        <x:f>=ROUNDUP(D26*维护参数!$B$11/维护参数!$B$12*1000,0)</x:f>
        <x:v>#NAME?</x:v>
      </x:c>
      <x:c r="K26" s="6" t="s">
        <x:v>60</x:v>
      </x:c>
      <x:c r="L26" s="22" t="e">
        <x:f>=(MAX(维护参数!$B$4,ROUNDUP(J26/10000,0)))*(维护参数!$B$2)</x:f>
        <x:v>#NAME?</x:v>
      </x:c>
      <x:c r="M26" s="23" t="e">
        <x:f>=ROUNDUP(D26*维护参数!$B$16/维护参数!$B$15/1000,0)*1000</x:f>
        <x:v>#NAME?</x:v>
      </x:c>
      <x:c r="N26" s="23" t="e">
        <x:f>=ROUNDUP(D26*维护参数!$B$17/维护参数!$B$15/10,0)*10</x:f>
        <x:v>#NAME?</x:v>
      </x:c>
      <x:c r="O26" s="23" t="e">
        <x:f>=ROUNDUP(D26*维护参数!$B$18/维护参数!$B$15/10,0)*10</x:f>
        <x:v>#NAME?</x:v>
      </x:c>
      <x:c r="P26" s="23" t="e">
        <x:f>=ROUNDUP(D26*维护参数!$B$19/维护参数!$B$15/10,0)*10</x:f>
        <x:v>#NAME?</x:v>
      </x:c>
      <x:c r="Q26" s="24" t="e">
        <x:f>=M26/1000*维护参数!$B$6+N26*维护参数!$B$7+O26*维护参数!$B$8+P26*维护参数!$B$9</x:f>
        <x:v>#NAME?</x:v>
      </x:c>
      <x:c r="R26" s="22" t="e">
        <x:f>=SUM(L26,Q26)</x:f>
        <x:v>#NAME?</x:v>
      </x:c>
      <x:c r="S26" s="25" t="e">
        <x:f>=R26/I26</x:f>
        <x:v>#NAME?</x:v>
      </x:c>
      <x:c r="T26" s="22" t="e">
        <x:f>=I26-R26</x:f>
        <x:v>#NAME?</x:v>
      </x:c>
      <x:c r="U26" s="25" t="e">
        <x:f>=T26/(D26)</x:f>
        <x:v>#NAME?</x:v>
      </x:c>
      <x:c r="V26" s="22" t="e">
        <x:f>=T26*维护参数!$B$20</x:f>
        <x:v>#NAME?</x:v>
      </x:c>
      <x:c r="W26" s="25" t="e">
        <x:f>=V26/(D26)</x:f>
        <x:v>#NAME?</x:v>
      </x:c>
      <x:c r="X26" s="7" t="s">
        <x:v>1</x:v>
      </x:c>
      <x:c r="Y26" s="7" t="s">
        <x:v>89</x:v>
      </x:c>
    </x:row>
    <x:row r="27" s="98" customFormat="1" ht="22" customHeight="1">
      <x:c r="A27" s="7" t="s">
        <x:v>1</x:v>
      </x:c>
      <x:c r="B27" s="18" t="s">
        <x:v>1</x:v>
      </x:c>
      <x:c r="C27" s="18" t="s">
        <x:v>1</x:v>
      </x:c>
      <x:c r="D27" s="28" t="s">
        <x:v>1</x:v>
      </x:c>
      <x:c r="E27" s="28" t="s">
        <x:v>1</x:v>
      </x:c>
      <x:c r="F27" s="28" t="s">
        <x:v>1</x:v>
      </x:c>
      <x:c r="G27" s="28" t="s">
        <x:v>1</x:v>
      </x:c>
      <x:c r="H27" s="6" t="s">
        <x:v>63</x:v>
      </x:c>
      <x:c r="I27" s="13" t="e">
        <x:f>=(D26)*(维护参数!$B$10)</x:f>
        <x:v>#NAME?</x:v>
      </x:c>
      <x:c r="J27" s="30" t="s">
        <x:v>1</x:v>
      </x:c>
      <x:c r="K27" s="6" t="s">
        <x:v>64</x:v>
      </x:c>
      <x:c r="L27" s="22" t="e">
        <x:f>=(MAX(维护参数!$B$5,ROUNDUP(J26/10000,0)))*(维护参数!$B$3)</x:f>
        <x:v>#NAME?</x:v>
      </x:c>
      <x:c r="M27" s="30" t="s">
        <x:v>1</x:v>
      </x:c>
      <x:c r="N27" s="30" t="s">
        <x:v>1</x:v>
      </x:c>
      <x:c r="O27" s="30" t="s">
        <x:v>1</x:v>
      </x:c>
      <x:c r="P27" s="30" t="s">
        <x:v>1</x:v>
      </x:c>
      <x:c r="Q27" s="31" t="s">
        <x:v>1</x:v>
      </x:c>
      <x:c r="R27" s="22" t="e">
        <x:f>=SUM(L27,Q26)</x:f>
        <x:v>#NAME?</x:v>
      </x:c>
      <x:c r="S27" s="25" t="e">
        <x:f>=R27/I27</x:f>
        <x:v>#NAME?</x:v>
      </x:c>
      <x:c r="T27" s="22" t="e">
        <x:f>=I27-R27</x:f>
        <x:v>#NAME?</x:v>
      </x:c>
      <x:c r="U27" s="25" t="e">
        <x:f>=T27/(D26)</x:f>
        <x:v>#NAME?</x:v>
      </x:c>
      <x:c r="V27" s="22" t="e">
        <x:f>=T27*维护参数!$B$20</x:f>
        <x:v>#NAME?</x:v>
      </x:c>
      <x:c r="W27" s="32" t="e">
        <x:f>=V27/(D26)</x:f>
        <x:v>#NAME?</x:v>
      </x:c>
      <x:c r="X27" s="7" t="s">
        <x:v>1</x:v>
      </x:c>
      <x:c r="Y27" s="7" t="s">
        <x:v>1</x:v>
      </x:c>
    </x:row>
    <x:row r="28" s="98" customFormat="1" ht="22" customHeight="1">
      <x:c r="A28" s="18" t="s">
        <x:v>90</x:v>
      </x:c>
      <x:c r="B28" s="18" t="s">
        <x:v>72</x:v>
      </x:c>
      <x:c r="C28" s="18" t="s">
        <x:v>82</x:v>
      </x:c>
      <x:c r="D28" s="19">
        <x:v>3500</x:v>
      </x:c>
      <x:c r="E28" s="19" t="n">
        <x:f>=D28*0.6</x:f>
        <x:v>2100</x:v>
      </x:c>
      <x:c r="F28" s="36">
        <x:v>4500</x:v>
      </x:c>
      <x:c r="G28" s="36" t="n">
        <x:f>=F28*0.6</x:f>
        <x:v>2700</x:v>
      </x:c>
      <x:c r="H28" s="6" t="s">
        <x:v>59</x:v>
      </x:c>
      <x:c r="I28" s="13" t="n">
        <x:f>=(E28)*(1)</x:f>
        <x:v>2100</x:v>
      </x:c>
      <x:c r="J28" s="21" t="e">
        <x:f>=ROUNDUP(D28*维护参数!$B$11/维护参数!$B$12*1000,0)</x:f>
        <x:v>#NAME?</x:v>
      </x:c>
      <x:c r="K28" s="6" t="s">
        <x:v>60</x:v>
      </x:c>
      <x:c r="L28" s="22" t="e">
        <x:f>=(MAX(维护参数!$B$4,ROUNDUP(J28/10000,0)))*(维护参数!$B$2)</x:f>
        <x:v>#NAME?</x:v>
      </x:c>
      <x:c r="M28" s="23" t="e">
        <x:f>=ROUNDUP(D28*维护参数!$B$16/维护参数!$B$15/1000,0)*1000</x:f>
        <x:v>#NAME?</x:v>
      </x:c>
      <x:c r="N28" s="23" t="e">
        <x:f>=ROUNDUP(D28*维护参数!$B$17/维护参数!$B$15/10,0)*10</x:f>
        <x:v>#NAME?</x:v>
      </x:c>
      <x:c r="O28" s="23" t="e">
        <x:f>=ROUNDUP(D28*维护参数!$B$18/维护参数!$B$15/10,0)*10</x:f>
        <x:v>#NAME?</x:v>
      </x:c>
      <x:c r="P28" s="23" t="e">
        <x:f>=ROUNDUP(D28*维护参数!$B$19/维护参数!$B$15/10,0)*10</x:f>
        <x:v>#NAME?</x:v>
      </x:c>
      <x:c r="Q28" s="24" t="e">
        <x:f>=M28/1000*维护参数!$B$6+N28*维护参数!$B$7+O28*维护参数!$B$8+P28*维护参数!$B$9</x:f>
        <x:v>#NAME?</x:v>
      </x:c>
      <x:c r="R28" s="22" t="e">
        <x:f>=SUM(L28,Q28)</x:f>
        <x:v>#NAME?</x:v>
      </x:c>
      <x:c r="S28" s="25" t="e">
        <x:f>=R28/I28</x:f>
        <x:v>#NAME?</x:v>
      </x:c>
      <x:c r="T28" s="22" t="e">
        <x:f>=I28-R28</x:f>
        <x:v>#NAME?</x:v>
      </x:c>
      <x:c r="U28" s="25" t="e">
        <x:f>=T28/(D28)</x:f>
        <x:v>#NAME?</x:v>
      </x:c>
      <x:c r="V28" s="22" t="e">
        <x:f>=T28*维护参数!$B$20</x:f>
        <x:v>#NAME?</x:v>
      </x:c>
      <x:c r="W28" s="25" t="e">
        <x:f>=V28/(D28)</x:f>
        <x:v>#NAME?</x:v>
      </x:c>
      <x:c r="X28" s="7" t="s">
        <x:v>82</x:v>
      </x:c>
      <x:c r="Y28" s="37" t="s">
        <x:v>91</x:v>
      </x:c>
    </x:row>
    <x:row r="29" s="98" customFormat="1" ht="22" customHeight="1">
      <x:c r="A29" s="7" t="s">
        <x:v>1</x:v>
      </x:c>
      <x:c r="B29" s="18" t="s">
        <x:v>1</x:v>
      </x:c>
      <x:c r="C29" s="18" t="s">
        <x:v>1</x:v>
      </x:c>
      <x:c r="D29" s="28" t="s">
        <x:v>1</x:v>
      </x:c>
      <x:c r="E29" s="28" t="s">
        <x:v>1</x:v>
      </x:c>
      <x:c r="F29" s="28" t="s">
        <x:v>1</x:v>
      </x:c>
      <x:c r="G29" s="28" t="s">
        <x:v>1</x:v>
      </x:c>
      <x:c r="H29" s="6" t="s">
        <x:v>63</x:v>
      </x:c>
      <x:c r="I29" s="13" t="e">
        <x:f>=(D28)*(维护参数!$B$10)</x:f>
        <x:v>#NAME?</x:v>
      </x:c>
      <x:c r="J29" s="30" t="s">
        <x:v>1</x:v>
      </x:c>
      <x:c r="K29" s="6" t="s">
        <x:v>64</x:v>
      </x:c>
      <x:c r="L29" s="22" t="e">
        <x:f>=(MAX(维护参数!$B$5,ROUNDUP(J28/10000,0)))*(维护参数!$B$3)</x:f>
        <x:v>#NAME?</x:v>
      </x:c>
      <x:c r="M29" s="30" t="s">
        <x:v>1</x:v>
      </x:c>
      <x:c r="N29" s="30" t="s">
        <x:v>1</x:v>
      </x:c>
      <x:c r="O29" s="30" t="s">
        <x:v>1</x:v>
      </x:c>
      <x:c r="P29" s="30" t="s">
        <x:v>1</x:v>
      </x:c>
      <x:c r="Q29" s="31" t="s">
        <x:v>1</x:v>
      </x:c>
      <x:c r="R29" s="22" t="e">
        <x:f>=SUM(L29,Q28)</x:f>
        <x:v>#NAME?</x:v>
      </x:c>
      <x:c r="S29" s="25" t="e">
        <x:f>=R29/I29</x:f>
        <x:v>#NAME?</x:v>
      </x:c>
      <x:c r="T29" s="22" t="e">
        <x:f>=I29-R29</x:f>
        <x:v>#NAME?</x:v>
      </x:c>
      <x:c r="U29" s="25" t="e">
        <x:f>=T29/(D28)</x:f>
        <x:v>#NAME?</x:v>
      </x:c>
      <x:c r="V29" s="22" t="e">
        <x:f>=T29*维护参数!$B$20</x:f>
        <x:v>#NAME?</x:v>
      </x:c>
      <x:c r="W29" s="32" t="e">
        <x:f>=V29/(D28)</x:f>
        <x:v>#NAME?</x:v>
      </x:c>
      <x:c r="X29" s="7" t="s">
        <x:v>1</x:v>
      </x:c>
      <x:c r="Y29" s="7" t="s">
        <x:v>1</x:v>
      </x:c>
    </x:row>
    <x:row r="30" s="98" customFormat="1" ht="22" customHeight="1">
      <x:c r="A30" s="7" t="s">
        <x:v>92</x:v>
      </x:c>
      <x:c r="B30" s="18" t="s">
        <x:v>93</x:v>
      </x:c>
      <x:c r="C30" s="18" t="s">
        <x:v>1</x:v>
      </x:c>
      <x:c r="D30" s="19">
        <x:v>7800</x:v>
      </x:c>
      <x:c r="E30" s="19" t="n">
        <x:f>=D30*0.6</x:f>
        <x:v>4680</x:v>
      </x:c>
      <x:c r="F30" s="20" t="s">
        <x:v>58</x:v>
      </x:c>
      <x:c r="G30" s="20" t="s">
        <x:v>58</x:v>
      </x:c>
      <x:c r="H30" s="6" t="s">
        <x:v>59</x:v>
      </x:c>
      <x:c r="I30" s="13" t="n">
        <x:f>=(E30)*(1)</x:f>
        <x:v>4680</x:v>
      </x:c>
      <x:c r="J30" s="21" t="e">
        <x:f>=ROUNDUP(D30*维护参数!$B$11/维护参数!$B$12*1000,0)</x:f>
        <x:v>#NAME?</x:v>
      </x:c>
      <x:c r="K30" s="6" t="s">
        <x:v>60</x:v>
      </x:c>
      <x:c r="L30" s="22" t="e">
        <x:f>=(MAX(维护参数!$B$4,ROUNDUP(J30/10000,0)))*(维护参数!$B$2)</x:f>
        <x:v>#NAME?</x:v>
      </x:c>
      <x:c r="M30" s="23" t="e">
        <x:f>=ROUNDUP(D30*维护参数!$B$16/维护参数!$B$15/1000,0)*1000</x:f>
        <x:v>#NAME?</x:v>
      </x:c>
      <x:c r="N30" s="23" t="e">
        <x:f>=ROUNDUP(D30*维护参数!$B$17/维护参数!$B$15/10,0)*10</x:f>
        <x:v>#NAME?</x:v>
      </x:c>
      <x:c r="O30" s="23" t="e">
        <x:f>=ROUNDUP(D30*维护参数!$B$18/维护参数!$B$15/10,0)*10</x:f>
        <x:v>#NAME?</x:v>
      </x:c>
      <x:c r="P30" s="23" t="e">
        <x:f>=ROUNDUP(D30*维护参数!$B$19/维护参数!$B$15/10,0)*10</x:f>
        <x:v>#NAME?</x:v>
      </x:c>
      <x:c r="Q30" s="24" t="e">
        <x:f>=M30/1000*维护参数!$B$6+N30*维护参数!$B$7+O30*维护参数!$B$8+P30*维护参数!$B$9</x:f>
        <x:v>#NAME?</x:v>
      </x:c>
      <x:c r="R30" s="22" t="e">
        <x:f>=SUM(L30,Q30)</x:f>
        <x:v>#NAME?</x:v>
      </x:c>
      <x:c r="S30" s="25" t="e">
        <x:f>=R30/I30</x:f>
        <x:v>#NAME?</x:v>
      </x:c>
      <x:c r="T30" s="22" t="e">
        <x:f>=I30-R30</x:f>
        <x:v>#NAME?</x:v>
      </x:c>
      <x:c r="U30" s="25" t="e">
        <x:f>=T30/(D30)</x:f>
        <x:v>#NAME?</x:v>
      </x:c>
      <x:c r="V30" s="22" t="e">
        <x:f>=T30*维护参数!$B$20</x:f>
        <x:v>#NAME?</x:v>
      </x:c>
      <x:c r="W30" s="25" t="e">
        <x:f>=V30/(D30)</x:f>
        <x:v>#NAME?</x:v>
      </x:c>
      <x:c r="X30" s="7" t="s">
        <x:v>1</x:v>
      </x:c>
      <x:c r="Y30" s="7" t="s">
        <x:v>94</x:v>
      </x:c>
    </x:row>
    <x:row r="31" s="98" customFormat="1" ht="22" customHeight="1">
      <x:c r="A31" s="7" t="s">
        <x:v>1</x:v>
      </x:c>
      <x:c r="B31" s="18" t="s">
        <x:v>1</x:v>
      </x:c>
      <x:c r="C31" s="18" t="s">
        <x:v>1</x:v>
      </x:c>
      <x:c r="D31" s="28" t="s">
        <x:v>1</x:v>
      </x:c>
      <x:c r="E31" s="28" t="s">
        <x:v>1</x:v>
      </x:c>
      <x:c r="F31" s="28" t="s">
        <x:v>1</x:v>
      </x:c>
      <x:c r="G31" s="28" t="s">
        <x:v>1</x:v>
      </x:c>
      <x:c r="H31" s="6" t="s">
        <x:v>63</x:v>
      </x:c>
      <x:c r="I31" s="13" t="e">
        <x:f>=(D30)*(维护参数!$B$10)</x:f>
        <x:v>#NAME?</x:v>
      </x:c>
      <x:c r="J31" s="30" t="s">
        <x:v>1</x:v>
      </x:c>
      <x:c r="K31" s="6" t="s">
        <x:v>64</x:v>
      </x:c>
      <x:c r="L31" s="22" t="e">
        <x:f>=(MAX(维护参数!$B$5,ROUNDUP(J30/10000,0)))*(维护参数!$B$3)</x:f>
        <x:v>#NAME?</x:v>
      </x:c>
      <x:c r="M31" s="30" t="s">
        <x:v>1</x:v>
      </x:c>
      <x:c r="N31" s="30" t="s">
        <x:v>1</x:v>
      </x:c>
      <x:c r="O31" s="30" t="s">
        <x:v>1</x:v>
      </x:c>
      <x:c r="P31" s="30" t="s">
        <x:v>1</x:v>
      </x:c>
      <x:c r="Q31" s="31" t="s">
        <x:v>1</x:v>
      </x:c>
      <x:c r="R31" s="22" t="e">
        <x:f>=SUM(L31,Q30)</x:f>
        <x:v>#NAME?</x:v>
      </x:c>
      <x:c r="S31" s="25" t="e">
        <x:f>=R31/I31</x:f>
        <x:v>#NAME?</x:v>
      </x:c>
      <x:c r="T31" s="22" t="e">
        <x:f>=I31-R31</x:f>
        <x:v>#NAME?</x:v>
      </x:c>
      <x:c r="U31" s="25" t="e">
        <x:f>=T31/(D30)</x:f>
        <x:v>#NAME?</x:v>
      </x:c>
      <x:c r="V31" s="22" t="e">
        <x:f>=T31*维护参数!$B$20</x:f>
        <x:v>#NAME?</x:v>
      </x:c>
      <x:c r="W31" s="32" t="e">
        <x:f>=V31/(D30)</x:f>
        <x:v>#NAME?</x:v>
      </x:c>
      <x:c r="X31" s="7" t="s">
        <x:v>1</x:v>
      </x:c>
      <x:c r="Y31" s="7" t="s">
        <x:v>1</x:v>
      </x:c>
    </x:row>
    <x:row r="32" s="98" customFormat="1" ht="22" customHeight="1">
      <x:c r="A32" s="18" t="s">
        <x:v>95</x:v>
      </x:c>
      <x:c r="B32" s="18" t="s">
        <x:v>96</x:v>
      </x:c>
      <x:c r="C32" s="18" t="s">
        <x:v>82</x:v>
      </x:c>
      <x:c r="D32" s="19">
        <x:v>3750</x:v>
      </x:c>
      <x:c r="E32" s="19" t="n">
        <x:f>=D32*0.6</x:f>
        <x:v>2250</x:v>
      </x:c>
      <x:c r="F32" s="36">
        <x:v>5000</x:v>
      </x:c>
      <x:c r="G32" s="36" t="n">
        <x:f>=F32*0.6</x:f>
        <x:v>3000</x:v>
      </x:c>
      <x:c r="H32" s="6" t="s">
        <x:v>59</x:v>
      </x:c>
      <x:c r="I32" s="13" t="n">
        <x:f>=(E32)*(1)</x:f>
        <x:v>2250</x:v>
      </x:c>
      <x:c r="J32" s="21" t="e">
        <x:f>=ROUNDUP(D32*维护参数!$B$11/维护参数!$B$12*1000,0)</x:f>
        <x:v>#NAME?</x:v>
      </x:c>
      <x:c r="K32" s="6" t="s">
        <x:v>60</x:v>
      </x:c>
      <x:c r="L32" s="22" t="e">
        <x:f>=(MAX(维护参数!$B$4,ROUNDUP(J32/10000,0)))*(维护参数!$B$2)</x:f>
        <x:v>#NAME?</x:v>
      </x:c>
      <x:c r="M32" s="23" t="e">
        <x:f>=ROUNDUP(D32*维护参数!$B$16/维护参数!$B$15/1000,0)*1000</x:f>
        <x:v>#NAME?</x:v>
      </x:c>
      <x:c r="N32" s="23" t="e">
        <x:f>=ROUNDUP(D32*维护参数!$B$17/维护参数!$B$15/10,0)*10</x:f>
        <x:v>#NAME?</x:v>
      </x:c>
      <x:c r="O32" s="23" t="e">
        <x:f>=ROUNDUP(D32*维护参数!$B$18/维护参数!$B$15/10,0)*10</x:f>
        <x:v>#NAME?</x:v>
      </x:c>
      <x:c r="P32" s="23" t="e">
        <x:f>=ROUNDUP(D32*维护参数!$B$19/维护参数!$B$15/10,0)*10</x:f>
        <x:v>#NAME?</x:v>
      </x:c>
      <x:c r="Q32" s="24" t="e">
        <x:f>=M32/1000*维护参数!$B$6+N32*维护参数!$B$7+O32*维护参数!$B$8+P32*维护参数!$B$9</x:f>
        <x:v>#NAME?</x:v>
      </x:c>
      <x:c r="R32" s="22" t="e">
        <x:f>=SUM(L32,Q32)</x:f>
        <x:v>#NAME?</x:v>
      </x:c>
      <x:c r="S32" s="25" t="e">
        <x:f>=R32/I32</x:f>
        <x:v>#NAME?</x:v>
      </x:c>
      <x:c r="T32" s="22" t="e">
        <x:f>=I32-R32</x:f>
        <x:v>#NAME?</x:v>
      </x:c>
      <x:c r="U32" s="25" t="e">
        <x:f>=T32/(D32)</x:f>
        <x:v>#NAME?</x:v>
      </x:c>
      <x:c r="V32" s="22" t="e">
        <x:f>=T32*维护参数!$B$20</x:f>
        <x:v>#NAME?</x:v>
      </x:c>
      <x:c r="W32" s="25" t="e">
        <x:f>=V32/(D32)</x:f>
        <x:v>#NAME?</x:v>
      </x:c>
      <x:c r="X32" s="7" t="s">
        <x:v>82</x:v>
      </x:c>
      <x:c r="Y32" s="7" t="s">
        <x:v>97</x:v>
      </x:c>
    </x:row>
    <x:row r="33" s="98" customFormat="1" ht="22" customHeight="1">
      <x:c r="A33" s="7" t="s">
        <x:v>1</x:v>
      </x:c>
      <x:c r="B33" s="18" t="s">
        <x:v>1</x:v>
      </x:c>
      <x:c r="C33" s="18" t="s">
        <x:v>1</x:v>
      </x:c>
      <x:c r="D33" s="28" t="s">
        <x:v>1</x:v>
      </x:c>
      <x:c r="E33" s="28" t="s">
        <x:v>1</x:v>
      </x:c>
      <x:c r="F33" s="28" t="s">
        <x:v>1</x:v>
      </x:c>
      <x:c r="G33" s="28" t="s">
        <x:v>1</x:v>
      </x:c>
      <x:c r="H33" s="6" t="s">
        <x:v>63</x:v>
      </x:c>
      <x:c r="I33" s="13" t="e">
        <x:f>=(D32)*(维护参数!$B$10)</x:f>
        <x:v>#NAME?</x:v>
      </x:c>
      <x:c r="J33" s="30" t="s">
        <x:v>1</x:v>
      </x:c>
      <x:c r="K33" s="6" t="s">
        <x:v>64</x:v>
      </x:c>
      <x:c r="L33" s="22" t="e">
        <x:f>=(MAX(维护参数!$B$5,ROUNDUP(J32/10000,0)))*(维护参数!$B$3)</x:f>
        <x:v>#NAME?</x:v>
      </x:c>
      <x:c r="M33" s="30" t="s">
        <x:v>1</x:v>
      </x:c>
      <x:c r="N33" s="30" t="s">
        <x:v>1</x:v>
      </x:c>
      <x:c r="O33" s="30" t="s">
        <x:v>1</x:v>
      </x:c>
      <x:c r="P33" s="30" t="s">
        <x:v>1</x:v>
      </x:c>
      <x:c r="Q33" s="31" t="s">
        <x:v>1</x:v>
      </x:c>
      <x:c r="R33" s="22" t="e">
        <x:f>=SUM(L33,Q32)</x:f>
        <x:v>#NAME?</x:v>
      </x:c>
      <x:c r="S33" s="25" t="e">
        <x:f>=R33/I33</x:f>
        <x:v>#NAME?</x:v>
      </x:c>
      <x:c r="T33" s="22" t="e">
        <x:f>=I33-R33</x:f>
        <x:v>#NAME?</x:v>
      </x:c>
      <x:c r="U33" s="25" t="e">
        <x:f>=T33/(D32)</x:f>
        <x:v>#NAME?</x:v>
      </x:c>
      <x:c r="V33" s="22" t="e">
        <x:f>=T33*维护参数!$B$20</x:f>
        <x:v>#NAME?</x:v>
      </x:c>
      <x:c r="W33" s="32" t="e">
        <x:f>=V33/(D32)</x:f>
        <x:v>#NAME?</x:v>
      </x:c>
      <x:c r="X33" s="7" t="s">
        <x:v>1</x:v>
      </x:c>
      <x:c r="Y33" s="7" t="s">
        <x:v>1</x:v>
      </x:c>
    </x:row>
    <x:row r="34" s="98" customFormat="1" ht="22" customHeight="1">
      <x:c r="A34" s="7" t="s">
        <x:v>98</x:v>
      </x:c>
      <x:c r="B34" s="18" t="s">
        <x:v>96</x:v>
      </x:c>
      <x:c r="C34" s="18" t="s">
        <x:v>124</x:v>
      </x:c>
      <x:c r="D34" s="19">
        <x:v>3000</x:v>
      </x:c>
      <x:c r="E34" s="19" t="n">
        <x:f>=D34*0.6</x:f>
        <x:v>1800</x:v>
      </x:c>
      <x:c r="F34" s="36">
        <x:v>5000</x:v>
      </x:c>
      <x:c r="G34" s="36" t="n">
        <x:f>=F34*0.6</x:f>
        <x:v>3000</x:v>
      </x:c>
      <x:c r="H34" s="6" t="s">
        <x:v>59</x:v>
      </x:c>
      <x:c r="I34" s="13" t="n">
        <x:f>=(E34)*(1)</x:f>
        <x:v>1800</x:v>
      </x:c>
      <x:c r="J34" s="21" t="e">
        <x:f>=ROUNDUP(D34*维护参数!$B$11/维护参数!$B$12*1000,0)</x:f>
        <x:v>#NAME?</x:v>
      </x:c>
      <x:c r="K34" s="6" t="s">
        <x:v>60</x:v>
      </x:c>
      <x:c r="L34" s="22" t="e">
        <x:f>=(MAX(维护参数!$B$4,ROUNDUP(J34/10000,0)))*(维护参数!$B$2)</x:f>
        <x:v>#NAME?</x:v>
      </x:c>
      <x:c r="M34" s="23" t="e">
        <x:f>=ROUNDUP(D34*维护参数!$B$16/维护参数!$B$15/1000,0)*1000</x:f>
        <x:v>#NAME?</x:v>
      </x:c>
      <x:c r="N34" s="23" t="e">
        <x:f>=ROUNDUP(D34*维护参数!$B$17/维护参数!$B$15/10,0)*10</x:f>
        <x:v>#NAME?</x:v>
      </x:c>
      <x:c r="O34" s="23" t="e">
        <x:f>=ROUNDUP(D34*维护参数!$B$18/维护参数!$B$15/10,0)*10</x:f>
        <x:v>#NAME?</x:v>
      </x:c>
      <x:c r="P34" s="23" t="e">
        <x:f>=ROUNDUP(D34*维护参数!$B$19/维护参数!$B$15/10,0)*10</x:f>
        <x:v>#NAME?</x:v>
      </x:c>
      <x:c r="Q34" s="24" t="e">
        <x:f>=M34/1000*维护参数!$B$6+N34*维护参数!$B$7+O34*维护参数!$B$8+P34*维护参数!$B$9</x:f>
        <x:v>#NAME?</x:v>
      </x:c>
      <x:c r="R34" s="22" t="e">
        <x:f>=SUM(L34,Q34)</x:f>
        <x:v>#NAME?</x:v>
      </x:c>
      <x:c r="S34" s="25" t="e">
        <x:f>=R34/I34</x:f>
        <x:v>#NAME?</x:v>
      </x:c>
      <x:c r="T34" s="22" t="e">
        <x:f>=I34-R34</x:f>
        <x:v>#NAME?</x:v>
      </x:c>
      <x:c r="U34" s="25" t="e">
        <x:f>=T34/(D34)</x:f>
        <x:v>#NAME?</x:v>
      </x:c>
      <x:c r="V34" s="22" t="e">
        <x:f>=T34*维护参数!$B$20</x:f>
        <x:v>#NAME?</x:v>
      </x:c>
      <x:c r="W34" s="25" t="e">
        <x:f>=V34/(D34)</x:f>
        <x:v>#NAME?</x:v>
      </x:c>
      <x:c r="X34" s="38" t="s">
        <x:v>99</x:v>
      </x:c>
      <x:c r="Y34" s="7" t="s">
        <x:v>100</x:v>
      </x:c>
    </x:row>
    <x:row r="35" s="98" customFormat="1" ht="22" customHeight="1">
      <x:c r="A35" s="7" t="s">
        <x:v>1</x:v>
      </x:c>
      <x:c r="B35" s="18" t="s">
        <x:v>1</x:v>
      </x:c>
      <x:c r="C35" s="18" t="s">
        <x:v>1</x:v>
      </x:c>
      <x:c r="D35" s="28" t="s">
        <x:v>1</x:v>
      </x:c>
      <x:c r="E35" s="28" t="s">
        <x:v>1</x:v>
      </x:c>
      <x:c r="F35" s="28" t="s">
        <x:v>1</x:v>
      </x:c>
      <x:c r="G35" s="28" t="s">
        <x:v>1</x:v>
      </x:c>
      <x:c r="H35" s="6" t="s">
        <x:v>63</x:v>
      </x:c>
      <x:c r="I35" s="13" t="e">
        <x:f>=(D34)*(维护参数!$B$10)</x:f>
        <x:v>#NAME?</x:v>
      </x:c>
      <x:c r="J35" s="30" t="s">
        <x:v>1</x:v>
      </x:c>
      <x:c r="K35" s="6" t="s">
        <x:v>64</x:v>
      </x:c>
      <x:c r="L35" s="22" t="e">
        <x:f>=(MAX(维护参数!$B$5,ROUNDUP(J34/10000,0)))*(维护参数!$B$3)</x:f>
        <x:v>#NAME?</x:v>
      </x:c>
      <x:c r="M35" s="30" t="s">
        <x:v>1</x:v>
      </x:c>
      <x:c r="N35" s="30" t="s">
        <x:v>1</x:v>
      </x:c>
      <x:c r="O35" s="30" t="s">
        <x:v>1</x:v>
      </x:c>
      <x:c r="P35" s="30" t="s">
        <x:v>1</x:v>
      </x:c>
      <x:c r="Q35" s="31" t="s">
        <x:v>1</x:v>
      </x:c>
      <x:c r="R35" s="22" t="e">
        <x:f>=SUM(L35,Q34)</x:f>
        <x:v>#NAME?</x:v>
      </x:c>
      <x:c r="S35" s="25" t="e">
        <x:f>=R35/I35</x:f>
        <x:v>#NAME?</x:v>
      </x:c>
      <x:c r="T35" s="22" t="e">
        <x:f>=I35-R35</x:f>
        <x:v>#NAME?</x:v>
      </x:c>
      <x:c r="U35" s="25" t="e">
        <x:f>=T35/(D34)</x:f>
        <x:v>#NAME?</x:v>
      </x:c>
      <x:c r="V35" s="22" t="e">
        <x:f>=T35*维护参数!$B$20</x:f>
        <x:v>#NAME?</x:v>
      </x:c>
      <x:c r="W35" s="32" t="e">
        <x:f>=V35/(D34)</x:f>
        <x:v>#NAME?</x:v>
      </x:c>
      <x:c r="X35" s="7" t="s">
        <x:v>1</x:v>
      </x:c>
      <x:c r="Y35" s="7" t="s">
        <x:v>1</x:v>
      </x:c>
    </x:row>
    <x:row r="36" s="98" customFormat="1" ht="22.5" customHeight="1">
      <x:c r="A36" s="18" t="s">
        <x:v>101</x:v>
      </x:c>
      <x:c r="B36" s="18" t="s">
        <x:v>81</x:v>
      </x:c>
      <x:c r="C36" s="18" t="s">
        <x:v>82</x:v>
      </x:c>
      <x:c r="D36" s="19">
        <x:v>7150</x:v>
      </x:c>
      <x:c r="E36" s="19" t="n">
        <x:f>=D36*0.6</x:f>
        <x:v>4290</x:v>
      </x:c>
      <x:c r="F36" s="20" t="s">
        <x:v>58</x:v>
      </x:c>
      <x:c r="G36" s="20" t="s">
        <x:v>58</x:v>
      </x:c>
      <x:c r="H36" s="6" t="s">
        <x:v>59</x:v>
      </x:c>
      <x:c r="I36" s="13" t="n">
        <x:f>=(E36)*(1)</x:f>
        <x:v>4290</x:v>
      </x:c>
      <x:c r="J36" s="21" t="e">
        <x:f>=ROUNDUP(D36*维护参数!$B$11/维护参数!$B$12*1000,0)</x:f>
        <x:v>#NAME?</x:v>
      </x:c>
      <x:c r="K36" s="6" t="s">
        <x:v>60</x:v>
      </x:c>
      <x:c r="L36" s="22" t="e">
        <x:f>=(MAX(维护参数!$B$4,ROUNDUP(J36/10000,0)))*(维护参数!$B$2)</x:f>
        <x:v>#NAME?</x:v>
      </x:c>
      <x:c r="M36" s="23" t="e">
        <x:f>=ROUNDUP(D36*维护参数!$B$16/维护参数!$B$15/1000,0)*1000</x:f>
        <x:v>#NAME?</x:v>
      </x:c>
      <x:c r="N36" s="23" t="e">
        <x:f>=ROUNDUP(D36*维护参数!$B$17/维护参数!$B$15/10,0)*10</x:f>
        <x:v>#NAME?</x:v>
      </x:c>
      <x:c r="O36" s="23" t="e">
        <x:f>=ROUNDUP(D36*维护参数!$B$18/维护参数!$B$15/10,0)*10</x:f>
        <x:v>#NAME?</x:v>
      </x:c>
      <x:c r="P36" s="23" t="e">
        <x:f>=ROUNDUP(D36*维护参数!$B$19/维护参数!$B$15/10,0)*10</x:f>
        <x:v>#NAME?</x:v>
      </x:c>
      <x:c r="Q36" s="24" t="e">
        <x:f>=M36/1000*维护参数!$B$6+N36*维护参数!$B$7+O36*维护参数!$B$8+P36*维护参数!$B$9</x:f>
        <x:v>#NAME?</x:v>
      </x:c>
      <x:c r="R36" s="22" t="e">
        <x:f>=SUM(L36,Q36)</x:f>
        <x:v>#NAME?</x:v>
      </x:c>
      <x:c r="S36" s="25" t="e">
        <x:f>=R36/I36</x:f>
        <x:v>#NAME?</x:v>
      </x:c>
      <x:c r="T36" s="22" t="e">
        <x:f>=I36-R36</x:f>
        <x:v>#NAME?</x:v>
      </x:c>
      <x:c r="U36" s="25" t="e">
        <x:f>=T36/(D36)</x:f>
        <x:v>#NAME?</x:v>
      </x:c>
      <x:c r="V36" s="22" t="e">
        <x:f>=T36*维护参数!$B$20</x:f>
        <x:v>#NAME?</x:v>
      </x:c>
      <x:c r="W36" s="25" t="e">
        <x:f>=V36/(D36)</x:f>
        <x:v>#NAME?</x:v>
      </x:c>
      <x:c r="X36" s="7" t="s">
        <x:v>82</x:v>
      </x:c>
      <x:c r="Y36" s="7" t="s">
        <x:v>102</x:v>
      </x:c>
    </x:row>
    <x:row r="37" s="98" customFormat="1" ht="22.5" customHeight="1">
      <x:c r="A37" s="7" t="s">
        <x:v>1</x:v>
      </x:c>
      <x:c r="B37" s="18" t="s">
        <x:v>1</x:v>
      </x:c>
      <x:c r="C37" s="18" t="s">
        <x:v>1</x:v>
      </x:c>
      <x:c r="D37" s="28" t="s">
        <x:v>1</x:v>
      </x:c>
      <x:c r="E37" s="28" t="s">
        <x:v>1</x:v>
      </x:c>
      <x:c r="F37" s="28" t="s">
        <x:v>1</x:v>
      </x:c>
      <x:c r="G37" s="28" t="s">
        <x:v>1</x:v>
      </x:c>
      <x:c r="H37" s="6" t="s">
        <x:v>63</x:v>
      </x:c>
      <x:c r="I37" s="13" t="e">
        <x:f>=(D36)*(维护参数!$B$10)</x:f>
        <x:v>#NAME?</x:v>
      </x:c>
      <x:c r="J37" s="30" t="s">
        <x:v>1</x:v>
      </x:c>
      <x:c r="K37" s="6" t="s">
        <x:v>64</x:v>
      </x:c>
      <x:c r="L37" s="22" t="e">
        <x:f>=(MAX(维护参数!$B$5,ROUNDUP(J36/10000,0)))*(维护参数!$B$3)</x:f>
        <x:v>#NAME?</x:v>
      </x:c>
      <x:c r="M37" s="30" t="s">
        <x:v>1</x:v>
      </x:c>
      <x:c r="N37" s="30" t="s">
        <x:v>1</x:v>
      </x:c>
      <x:c r="O37" s="30" t="s">
        <x:v>1</x:v>
      </x:c>
      <x:c r="P37" s="30" t="s">
        <x:v>1</x:v>
      </x:c>
      <x:c r="Q37" s="31" t="s">
        <x:v>1</x:v>
      </x:c>
      <x:c r="R37" s="22" t="e">
        <x:f>=SUM(L37,Q36)</x:f>
        <x:v>#NAME?</x:v>
      </x:c>
      <x:c r="S37" s="25" t="e">
        <x:f>=R37/I37</x:f>
        <x:v>#NAME?</x:v>
      </x:c>
      <x:c r="T37" s="22" t="e">
        <x:f>=I37-R37</x:f>
        <x:v>#NAME?</x:v>
      </x:c>
      <x:c r="U37" s="25" t="e">
        <x:f>=T37/(D36)</x:f>
        <x:v>#NAME?</x:v>
      </x:c>
      <x:c r="V37" s="22" t="e">
        <x:f>=T37*维护参数!$B$20</x:f>
        <x:v>#NAME?</x:v>
      </x:c>
      <x:c r="W37" s="32" t="e">
        <x:f>=V37/(D36)</x:f>
        <x:v>#NAME?</x:v>
      </x:c>
      <x:c r="X37" s="7" t="s">
        <x:v>1</x:v>
      </x:c>
      <x:c r="Y37" s="7" t="s">
        <x:v>1</x:v>
      </x:c>
    </x:row>
    <x:row r="38" s="98" customFormat="1" ht="22.5" customHeight="1">
      <x:c r="A38" s="7" t="s">
        <x:v>103</x:v>
      </x:c>
      <x:c r="B38" s="7" t="s">
        <x:v>96</x:v>
      </x:c>
      <x:c r="C38" s="7" t="s">
        <x:v>1</x:v>
      </x:c>
      <x:c r="D38" s="39">
        <x:v>7000</x:v>
      </x:c>
      <x:c r="E38" s="39" t="n">
        <x:f>=D38*0.6</x:f>
        <x:v>4200</x:v>
      </x:c>
      <x:c r="F38" s="40" t="s">
        <x:v>58</x:v>
      </x:c>
      <x:c r="G38" s="40" t="s">
        <x:v>58</x:v>
      </x:c>
      <x:c r="H38" s="7" t="s">
        <x:v>59</x:v>
      </x:c>
      <x:c r="I38" s="39" t="n">
        <x:f>=(E38)*(1)</x:f>
        <x:v>4200</x:v>
      </x:c>
      <x:c r="J38" s="41" t="e">
        <x:f>=ROUNDUP(D38*维护参数!$B$11/维护参数!$B$12*1000,0)</x:f>
        <x:v>#NAME?</x:v>
      </x:c>
      <x:c r="K38" s="7" t="s">
        <x:v>60</x:v>
      </x:c>
      <x:c r="L38" s="24" t="e">
        <x:f>=(MAX(维护参数!$B$4,ROUNDUP(J38/10000,0)))*(维护参数!$B$2)</x:f>
        <x:v>#NAME?</x:v>
      </x:c>
      <x:c r="M38" s="23" t="e">
        <x:f>=ROUNDUP(D38*维护参数!$B$16/维护参数!$B$15/1000,0)*1000</x:f>
        <x:v>#NAME?</x:v>
      </x:c>
      <x:c r="N38" s="23" t="e">
        <x:f>=ROUNDUP(D38*维护参数!$B$17/维护参数!$B$15/10,0)*10</x:f>
        <x:v>#NAME?</x:v>
      </x:c>
      <x:c r="O38" s="23" t="e">
        <x:f>=ROUNDUP(D38*维护参数!$B$18/维护参数!$B$15/10,0)*10</x:f>
        <x:v>#NAME?</x:v>
      </x:c>
      <x:c r="P38" s="23" t="e">
        <x:f>=ROUNDUP(D38*维护参数!$B$19/维护参数!$B$15/10,0)*10</x:f>
        <x:v>#NAME?</x:v>
      </x:c>
      <x:c r="Q38" s="24" t="e">
        <x:f>=M38/1000*维护参数!$B$6+N38*维护参数!$B$7+O38*维护参数!$B$8+P38*维护参数!$B$9</x:f>
        <x:v>#NAME?</x:v>
      </x:c>
      <x:c r="R38" s="24" t="e">
        <x:f>=SUM(L38,Q38)</x:f>
        <x:v>#NAME?</x:v>
      </x:c>
      <x:c r="S38" s="32" t="e">
        <x:f>=R38/I38</x:f>
        <x:v>#NAME?</x:v>
      </x:c>
      <x:c r="T38" s="24" t="e">
        <x:f>=I38-R38</x:f>
        <x:v>#NAME?</x:v>
      </x:c>
      <x:c r="U38" s="32" t="e">
        <x:f>=T38/(D38)</x:f>
        <x:v>#NAME?</x:v>
      </x:c>
      <x:c r="V38" s="24" t="e">
        <x:f>=T38*维护参数!$B$20</x:f>
        <x:v>#NAME?</x:v>
      </x:c>
      <x:c r="W38" s="32" t="e">
        <x:f>=V38/(D38)</x:f>
        <x:v>#NAME?</x:v>
      </x:c>
      <x:c r="X38" s="7" t="s">
        <x:v>104</x:v>
      </x:c>
      <x:c r="Y38" s="7" t="s">
        <x:v>105</x:v>
      </x:c>
    </x:row>
    <x:row r="39" s="98" customFormat="1" ht="22.5" customHeight="1">
      <x:c r="A39" s="7" t="s">
        <x:v>1</x:v>
      </x:c>
      <x:c r="B39" s="7" t="s">
        <x:v>1</x:v>
      </x:c>
      <x:c r="C39" s="7" t="s">
        <x:v>1</x:v>
      </x:c>
      <x:c r="D39" s="42" t="s">
        <x:v>1</x:v>
      </x:c>
      <x:c r="E39" s="42" t="s">
        <x:v>1</x:v>
      </x:c>
      <x:c r="F39" s="42" t="s">
        <x:v>1</x:v>
      </x:c>
      <x:c r="G39" s="42" t="s">
        <x:v>1</x:v>
      </x:c>
      <x:c r="H39" s="7" t="s">
        <x:v>63</x:v>
      </x:c>
      <x:c r="I39" s="39" t="e">
        <x:f>=(D38)*(维护参数!$B$10)</x:f>
        <x:v>#NAME?</x:v>
      </x:c>
      <x:c r="J39" s="30" t="s">
        <x:v>1</x:v>
      </x:c>
      <x:c r="K39" s="7" t="s">
        <x:v>64</x:v>
      </x:c>
      <x:c r="L39" s="24" t="e">
        <x:f>=(MAX(维护参数!$B$5,ROUNDUP(J38/10000,0)))*(维护参数!$B$3)</x:f>
        <x:v>#NAME?</x:v>
      </x:c>
      <x:c r="M39" s="30" t="s">
        <x:v>1</x:v>
      </x:c>
      <x:c r="N39" s="30" t="s">
        <x:v>1</x:v>
      </x:c>
      <x:c r="O39" s="30" t="s">
        <x:v>1</x:v>
      </x:c>
      <x:c r="P39" s="30" t="s">
        <x:v>1</x:v>
      </x:c>
      <x:c r="Q39" s="31" t="s">
        <x:v>1</x:v>
      </x:c>
      <x:c r="R39" s="24" t="e">
        <x:f>=SUM(L39,Q38)</x:f>
        <x:v>#NAME?</x:v>
      </x:c>
      <x:c r="S39" s="32" t="e">
        <x:f>=R39/I39</x:f>
        <x:v>#NAME?</x:v>
      </x:c>
      <x:c r="T39" s="24" t="e">
        <x:f>=I39-R39</x:f>
        <x:v>#NAME?</x:v>
      </x:c>
      <x:c r="U39" s="32" t="e">
        <x:f>=T39/(D38)</x:f>
        <x:v>#NAME?</x:v>
      </x:c>
      <x:c r="V39" s="24" t="e">
        <x:f>=T39*维护参数!$B$20</x:f>
        <x:v>#NAME?</x:v>
      </x:c>
      <x:c r="W39" s="32" t="e">
        <x:f>=V39/(D38)</x:f>
        <x:v>#NAME?</x:v>
      </x:c>
      <x:c r="X39" s="7" t="s">
        <x:v>1</x:v>
      </x:c>
      <x:c r="Y39" s="7" t="s">
        <x:v>1</x:v>
      </x:c>
    </x:row>
    <x:row r="40" s="98" customFormat="1" ht="22.5" customHeight="1">
      <x:c r="A40" s="7" t="s">
        <x:v>106</x:v>
      </x:c>
      <x:c r="B40" s="7" t="s">
        <x:v>96</x:v>
      </x:c>
      <x:c r="C40" s="7" t="s">
        <x:v>107</x:v>
      </x:c>
      <x:c r="D40" s="39">
        <x:v>5500</x:v>
      </x:c>
      <x:c r="E40" s="39" t="n">
        <x:f>=D40*0.6</x:f>
        <x:v>3300</x:v>
      </x:c>
      <x:c r="F40" s="40" t="s">
        <x:v>58</x:v>
      </x:c>
      <x:c r="G40" s="40" t="s">
        <x:v>58</x:v>
      </x:c>
      <x:c r="H40" s="7" t="s">
        <x:v>59</x:v>
      </x:c>
      <x:c r="I40" s="39" t="n">
        <x:f>=(E40)*(1)</x:f>
        <x:v>3300</x:v>
      </x:c>
      <x:c r="J40" s="41" t="e">
        <x:f>=ROUNDUP(D40*维护参数!$B$11/维护参数!$B$12*1000,0)</x:f>
        <x:v>#NAME?</x:v>
      </x:c>
      <x:c r="K40" s="7" t="s">
        <x:v>60</x:v>
      </x:c>
      <x:c r="L40" s="24" t="e">
        <x:f>=(MAX(维护参数!$B$4,ROUNDUP(J40/10000,0)))*(维护参数!$B$2)</x:f>
        <x:v>#NAME?</x:v>
      </x:c>
      <x:c r="M40" s="23" t="e">
        <x:f>=ROUNDUP(D40*维护参数!$B$16/维护参数!$B$15/1000,0)*1000</x:f>
        <x:v>#NAME?</x:v>
      </x:c>
      <x:c r="N40" s="23" t="e">
        <x:f>=ROUNDUP(D40*维护参数!$B$17/维护参数!$B$15/10,0)*10</x:f>
        <x:v>#NAME?</x:v>
      </x:c>
      <x:c r="O40" s="23" t="e">
        <x:f>=ROUNDUP(D40*维护参数!$B$18/维护参数!$B$15/10,0)*10</x:f>
        <x:v>#NAME?</x:v>
      </x:c>
      <x:c r="P40" s="23" t="e">
        <x:f>=ROUNDUP(D40*维护参数!$B$19/维护参数!$B$15/10,0)*10</x:f>
        <x:v>#NAME?</x:v>
      </x:c>
      <x:c r="Q40" s="24" t="e">
        <x:f>=M40/1000*维护参数!$B$6+N40*维护参数!$B$7+O40*维护参数!$B$8+P40*维护参数!$B$9</x:f>
        <x:v>#NAME?</x:v>
      </x:c>
      <x:c r="R40" s="24" t="e">
        <x:f>=SUM(L40,Q40)</x:f>
        <x:v>#NAME?</x:v>
      </x:c>
      <x:c r="S40" s="32" t="e">
        <x:f>=R40/I40</x:f>
        <x:v>#NAME?</x:v>
      </x:c>
      <x:c r="T40" s="24" t="e">
        <x:f>=I40-R40</x:f>
        <x:v>#NAME?</x:v>
      </x:c>
      <x:c r="U40" s="32" t="e">
        <x:f>=T40/(D40)</x:f>
        <x:v>#NAME?</x:v>
      </x:c>
      <x:c r="V40" s="24" t="e">
        <x:f>=T40*维护参数!$B$20</x:f>
        <x:v>#NAME?</x:v>
      </x:c>
      <x:c r="W40" s="32" t="e">
        <x:f>=V40/(D40)</x:f>
        <x:v>#NAME?</x:v>
      </x:c>
      <x:c r="X40" s="7" t="s">
        <x:v>107</x:v>
      </x:c>
      <x:c r="Y40" s="7" t="s">
        <x:v>108</x:v>
      </x:c>
    </x:row>
    <x:row r="41" s="98" customFormat="1" ht="22.5" customHeight="1">
      <x:c r="A41" s="6" t="s">
        <x:v>1</x:v>
      </x:c>
      <x:c r="B41" s="6" t="s">
        <x:v>1</x:v>
      </x:c>
      <x:c r="C41" s="6" t="s">
        <x:v>1</x:v>
      </x:c>
      <x:c r="D41" s="43" t="s">
        <x:v>1</x:v>
      </x:c>
      <x:c r="E41" s="42" t="s">
        <x:v>1</x:v>
      </x:c>
      <x:c r="F41" s="42" t="s">
        <x:v>1</x:v>
      </x:c>
      <x:c r="G41" s="42" t="s">
        <x:v>1</x:v>
      </x:c>
      <x:c r="H41" s="7" t="s">
        <x:v>63</x:v>
      </x:c>
      <x:c r="I41" s="39" t="e">
        <x:f>=(D40)*(维护参数!$B$10)</x:f>
        <x:v>#NAME?</x:v>
      </x:c>
      <x:c r="J41" s="44" t="s">
        <x:v>1</x:v>
      </x:c>
      <x:c r="K41" s="7" t="s">
        <x:v>64</x:v>
      </x:c>
      <x:c r="L41" s="24" t="e">
        <x:f>=(MAX(维护参数!$B$5,ROUNDUP(J40/10000,0)))*(维护参数!$B$3)</x:f>
        <x:v>#NAME?</x:v>
      </x:c>
      <x:c r="M41" s="44" t="s">
        <x:v>1</x:v>
      </x:c>
      <x:c r="N41" s="44" t="s">
        <x:v>1</x:v>
      </x:c>
      <x:c r="O41" s="44" t="s">
        <x:v>1</x:v>
      </x:c>
      <x:c r="P41" s="44" t="s">
        <x:v>1</x:v>
      </x:c>
      <x:c r="Q41" s="45" t="s">
        <x:v>1</x:v>
      </x:c>
      <x:c r="R41" s="24" t="e">
        <x:f>=SUM(L41,Q40)</x:f>
        <x:v>#NAME?</x:v>
      </x:c>
      <x:c r="S41" s="32" t="e">
        <x:f>=R41/I41</x:f>
        <x:v>#NAME?</x:v>
      </x:c>
      <x:c r="T41" s="24" t="e">
        <x:f>=I41-R41</x:f>
        <x:v>#NAME?</x:v>
      </x:c>
      <x:c r="U41" s="32" t="e">
        <x:f>=T41/(D40)</x:f>
        <x:v>#NAME?</x:v>
      </x:c>
      <x:c r="V41" s="24" t="e">
        <x:f>=T41*维护参数!$B$20</x:f>
        <x:v>#NAME?</x:v>
      </x:c>
      <x:c r="W41" s="32" t="e">
        <x:f>=V41/(D40)</x:f>
        <x:v>#NAME?</x:v>
      </x:c>
      <x:c r="X41" s="7" t="s">
        <x:v>1</x:v>
      </x:c>
      <x:c r="Y41" s="6" t="s">
        <x:v>1</x:v>
      </x:c>
    </x:row>
    <x:row r="42" s="98" customFormat="1" ht="22.5" customHeight="1">
      <x:c r="A42" s="7" t="s">
        <x:v>109</x:v>
      </x:c>
      <x:c r="B42" s="7" t="s">
        <x:v>72</x:v>
      </x:c>
      <x:c r="C42" s="7" t="s">
        <x:v>107</x:v>
      </x:c>
      <x:c r="D42" s="39">
        <x:v>5000</x:v>
      </x:c>
      <x:c r="E42" s="39" t="n">
        <x:f>=D42*0.6</x:f>
        <x:v>3000</x:v>
      </x:c>
      <x:c r="F42" s="40" t="s">
        <x:v>58</x:v>
      </x:c>
      <x:c r="G42" s="40" t="s">
        <x:v>58</x:v>
      </x:c>
      <x:c r="H42" s="7" t="s">
        <x:v>59</x:v>
      </x:c>
      <x:c r="I42" s="39" t="n">
        <x:f>=(E42)*(1)</x:f>
        <x:v>3000</x:v>
      </x:c>
      <x:c r="J42" s="41" t="e">
        <x:f>=ROUNDUP(D42*维护参数!$B$11/维护参数!$B$12*1000,0)</x:f>
        <x:v>#NAME?</x:v>
      </x:c>
      <x:c r="K42" s="7" t="s">
        <x:v>60</x:v>
      </x:c>
      <x:c r="L42" s="24" t="e">
        <x:f>=(MAX(维护参数!$B$4,ROUNDUP(J42/10000,0)))*(维护参数!$B$2)</x:f>
        <x:v>#NAME?</x:v>
      </x:c>
      <x:c r="M42" s="23" t="e">
        <x:f>=ROUNDUP(D42*维护参数!$B$16/维护参数!$B$15/1000,0)*1000</x:f>
        <x:v>#NAME?</x:v>
      </x:c>
      <x:c r="N42" s="23" t="e">
        <x:f>=ROUNDUP(D42*维护参数!$B$17/维护参数!$B$15/10,0)*10</x:f>
        <x:v>#NAME?</x:v>
      </x:c>
      <x:c r="O42" s="23" t="e">
        <x:f>=ROUNDUP(D42*维护参数!$B$18/维护参数!$B$15/10,0)*10</x:f>
        <x:v>#NAME?</x:v>
      </x:c>
      <x:c r="P42" s="23" t="e">
        <x:f>=ROUNDUP(D42*维护参数!$B$19/维护参数!$B$15/10,0)*10</x:f>
        <x:v>#NAME?</x:v>
      </x:c>
      <x:c r="Q42" s="24" t="e">
        <x:f>=M42/1000*维护参数!$B$6+N42*维护参数!$B$7+O42*维护参数!$B$8+P42*维护参数!$B$9</x:f>
        <x:v>#NAME?</x:v>
      </x:c>
      <x:c r="R42" s="24" t="e">
        <x:f>=SUM(L42,Q42)</x:f>
        <x:v>#NAME?</x:v>
      </x:c>
      <x:c r="S42" s="32" t="e">
        <x:f>=R42/I42</x:f>
        <x:v>#NAME?</x:v>
      </x:c>
      <x:c r="T42" s="24" t="e">
        <x:f>=I42-R42</x:f>
        <x:v>#NAME?</x:v>
      </x:c>
      <x:c r="U42" s="32" t="e">
        <x:f>=T42/(D42)</x:f>
        <x:v>#NAME?</x:v>
      </x:c>
      <x:c r="V42" s="24" t="e">
        <x:f>=T42*维护参数!$B$20</x:f>
        <x:v>#NAME?</x:v>
      </x:c>
      <x:c r="W42" s="32" t="e">
        <x:f>=V42/(D42)</x:f>
        <x:v>#NAME?</x:v>
      </x:c>
      <x:c r="X42" s="7" t="s">
        <x:v>107</x:v>
      </x:c>
      <x:c r="Y42" s="7" t="s">
        <x:v>110</x:v>
      </x:c>
    </x:row>
    <x:row r="43" s="98" customFormat="1" ht="22.5" customHeight="1">
      <x:c r="A43" s="7" t="s">
        <x:v>1</x:v>
      </x:c>
      <x:c r="B43" s="7" t="s">
        <x:v>1</x:v>
      </x:c>
      <x:c r="C43" s="7" t="s">
        <x:v>1</x:v>
      </x:c>
      <x:c r="D43" s="42" t="s">
        <x:v>1</x:v>
      </x:c>
      <x:c r="E43" s="42" t="s">
        <x:v>1</x:v>
      </x:c>
      <x:c r="F43" s="42" t="s">
        <x:v>1</x:v>
      </x:c>
      <x:c r="G43" s="42" t="s">
        <x:v>1</x:v>
      </x:c>
      <x:c r="H43" s="7" t="s">
        <x:v>63</x:v>
      </x:c>
      <x:c r="I43" s="39" t="e">
        <x:f>=(D42)*(维护参数!$B$10)</x:f>
        <x:v>#NAME?</x:v>
      </x:c>
      <x:c r="J43" s="30" t="s">
        <x:v>1</x:v>
      </x:c>
      <x:c r="K43" s="7" t="s">
        <x:v>64</x:v>
      </x:c>
      <x:c r="L43" s="24" t="e">
        <x:f>=(MAX(维护参数!$B$5,ROUNDUP(J42/10000,0)))*(维护参数!$B$3)</x:f>
        <x:v>#NAME?</x:v>
      </x:c>
      <x:c r="M43" s="30" t="s">
        <x:v>1</x:v>
      </x:c>
      <x:c r="N43" s="30" t="s">
        <x:v>1</x:v>
      </x:c>
      <x:c r="O43" s="30" t="s">
        <x:v>1</x:v>
      </x:c>
      <x:c r="P43" s="30" t="s">
        <x:v>1</x:v>
      </x:c>
      <x:c r="Q43" s="31" t="s">
        <x:v>1</x:v>
      </x:c>
      <x:c r="R43" s="24" t="e">
        <x:f>=SUM(L43,Q42)</x:f>
        <x:v>#NAME?</x:v>
      </x:c>
      <x:c r="S43" s="32" t="e">
        <x:f>=R43/I43</x:f>
        <x:v>#NAME?</x:v>
      </x:c>
      <x:c r="T43" s="24" t="e">
        <x:f>=I43-R43</x:f>
        <x:v>#NAME?</x:v>
      </x:c>
      <x:c r="U43" s="32" t="e">
        <x:f>=T43/(D42)</x:f>
        <x:v>#NAME?</x:v>
      </x:c>
      <x:c r="V43" s="24" t="e">
        <x:f>=T43*维护参数!$B$20</x:f>
        <x:v>#NAME?</x:v>
      </x:c>
      <x:c r="W43" s="32" t="e">
        <x:f>=V43/(D42)</x:f>
        <x:v>#NAME?</x:v>
      </x:c>
      <x:c r="X43" s="7" t="s">
        <x:v>1</x:v>
      </x:c>
      <x:c r="Y43" s="7" t="s">
        <x:v>1</x:v>
      </x:c>
    </x:row>
    <x:row r="44" s="98" customFormat="1" ht="22.5" customHeight="1">
      <x:c r="A44" s="7" t="s">
        <x:v>111</x:v>
      </x:c>
      <x:c r="B44" s="7" t="s">
        <x:v>72</x:v>
      </x:c>
      <x:c r="C44" s="7" t="s">
        <x:v>107</x:v>
      </x:c>
      <x:c r="D44" s="39">
        <x:v>5000</x:v>
      </x:c>
      <x:c r="E44" s="39" t="n">
        <x:f>=D44*0.6</x:f>
        <x:v>3000</x:v>
      </x:c>
      <x:c r="F44" s="40" t="s">
        <x:v>58</x:v>
      </x:c>
      <x:c r="G44" s="40" t="s">
        <x:v>58</x:v>
      </x:c>
      <x:c r="H44" s="7" t="s">
        <x:v>59</x:v>
      </x:c>
      <x:c r="I44" s="39" t="n">
        <x:f>=(E44)*(1)</x:f>
        <x:v>3000</x:v>
      </x:c>
      <x:c r="J44" s="41" t="e">
        <x:f>=ROUNDUP(D44*维护参数!$B$11/维护参数!$B$12*1000,0)</x:f>
        <x:v>#NAME?</x:v>
      </x:c>
      <x:c r="K44" s="7" t="s">
        <x:v>60</x:v>
      </x:c>
      <x:c r="L44" s="24" t="e">
        <x:f>=(MAX(维护参数!$B$4,ROUNDUP(J44/10000,0)))*(维护参数!$B$2)</x:f>
        <x:v>#NAME?</x:v>
      </x:c>
      <x:c r="M44" s="23" t="e">
        <x:f>=ROUNDUP(D44*维护参数!$B$16/维护参数!$B$15/1000,0)*1000</x:f>
        <x:v>#NAME?</x:v>
      </x:c>
      <x:c r="N44" s="23" t="e">
        <x:f>=ROUNDUP(D44*维护参数!$B$17/维护参数!$B$15/10,0)*10</x:f>
        <x:v>#NAME?</x:v>
      </x:c>
      <x:c r="O44" s="23" t="e">
        <x:f>=ROUNDUP(D44*维护参数!$B$18/维护参数!$B$15/10,0)*10</x:f>
        <x:v>#NAME?</x:v>
      </x:c>
      <x:c r="P44" s="23" t="e">
        <x:f>=ROUNDUP(D44*维护参数!$B$19/维护参数!$B$15/10,0)*10</x:f>
        <x:v>#NAME?</x:v>
      </x:c>
      <x:c r="Q44" s="24" t="e">
        <x:f>=M44/1000*维护参数!$B$6+N44*维护参数!$B$7+O44*维护参数!$B$8+P44*维护参数!$B$9</x:f>
        <x:v>#NAME?</x:v>
      </x:c>
      <x:c r="R44" s="24" t="e">
        <x:f>=SUM(L44,Q44)</x:f>
        <x:v>#NAME?</x:v>
      </x:c>
      <x:c r="S44" s="32" t="e">
        <x:f>=R44/I44</x:f>
        <x:v>#NAME?</x:v>
      </x:c>
      <x:c r="T44" s="24" t="e">
        <x:f>=I44-R44</x:f>
        <x:v>#NAME?</x:v>
      </x:c>
      <x:c r="U44" s="32" t="e">
        <x:f>=T44/(D44)</x:f>
        <x:v>#NAME?</x:v>
      </x:c>
      <x:c r="V44" s="24" t="e">
        <x:f>=T44*维护参数!$B$20</x:f>
        <x:v>#NAME?</x:v>
      </x:c>
      <x:c r="W44" s="32" t="e">
        <x:f>=V44/(D44)</x:f>
        <x:v>#NAME?</x:v>
      </x:c>
      <x:c r="X44" s="7" t="s">
        <x:v>107</x:v>
      </x:c>
      <x:c r="Y44" s="7" t="s">
        <x:v>112</x:v>
      </x:c>
    </x:row>
    <x:row r="45" s="98" customFormat="1" ht="22.5" customHeight="1">
      <x:c r="A45" s="7" t="s">
        <x:v>1</x:v>
      </x:c>
      <x:c r="B45" s="7" t="s">
        <x:v>1</x:v>
      </x:c>
      <x:c r="C45" s="7" t="s">
        <x:v>1</x:v>
      </x:c>
      <x:c r="D45" s="42" t="s">
        <x:v>1</x:v>
      </x:c>
      <x:c r="E45" s="42" t="s">
        <x:v>1</x:v>
      </x:c>
      <x:c r="F45" s="42" t="s">
        <x:v>1</x:v>
      </x:c>
      <x:c r="G45" s="42" t="s">
        <x:v>1</x:v>
      </x:c>
      <x:c r="H45" s="7" t="s">
        <x:v>63</x:v>
      </x:c>
      <x:c r="I45" s="39" t="e">
        <x:f>=(D44)*(维护参数!$B$10)</x:f>
        <x:v>#NAME?</x:v>
      </x:c>
      <x:c r="J45" s="30" t="s">
        <x:v>1</x:v>
      </x:c>
      <x:c r="K45" s="7" t="s">
        <x:v>64</x:v>
      </x:c>
      <x:c r="L45" s="24" t="e">
        <x:f>=(MAX(维护参数!$B$5,ROUNDUP(J44/10000,0)))*(维护参数!$B$3)</x:f>
        <x:v>#NAME?</x:v>
      </x:c>
      <x:c r="M45" s="30" t="s">
        <x:v>1</x:v>
      </x:c>
      <x:c r="N45" s="30" t="s">
        <x:v>1</x:v>
      </x:c>
      <x:c r="O45" s="30" t="s">
        <x:v>1</x:v>
      </x:c>
      <x:c r="P45" s="30" t="s">
        <x:v>1</x:v>
      </x:c>
      <x:c r="Q45" s="31" t="s">
        <x:v>1</x:v>
      </x:c>
      <x:c r="R45" s="24" t="e">
        <x:f>=SUM(L45,Q44)</x:f>
        <x:v>#NAME?</x:v>
      </x:c>
      <x:c r="S45" s="32" t="e">
        <x:f>=R45/I45</x:f>
        <x:v>#NAME?</x:v>
      </x:c>
      <x:c r="T45" s="24" t="e">
        <x:f>=I45-R45</x:f>
        <x:v>#NAME?</x:v>
      </x:c>
      <x:c r="U45" s="32" t="e">
        <x:f>=T45/(D44)</x:f>
        <x:v>#NAME?</x:v>
      </x:c>
      <x:c r="V45" s="24" t="e">
        <x:f>=T45*维护参数!$B$20</x:f>
        <x:v>#NAME?</x:v>
      </x:c>
      <x:c r="W45" s="32" t="e">
        <x:f>=V45/(D44)</x:f>
        <x:v>#NAME?</x:v>
      </x:c>
      <x:c r="X45" s="7" t="s">
        <x:v>1</x:v>
      </x:c>
      <x:c r="Y45" s="7" t="s">
        <x:v>1</x:v>
      </x:c>
    </x:row>
    <x:row r="46" s="98" customFormat="1" ht="22.5" customHeight="1">
      <x:c r="A46" s="7" t="s">
        <x:v>113</x:v>
      </x:c>
      <x:c r="B46" s="7" t="s">
        <x:v>72</x:v>
      </x:c>
      <x:c r="C46" s="7" t="s">
        <x:v>107</x:v>
      </x:c>
      <x:c r="D46" s="39">
        <x:v>5000</x:v>
      </x:c>
      <x:c r="E46" s="39" t="n">
        <x:f>=D46*0.6</x:f>
        <x:v>3000</x:v>
      </x:c>
      <x:c r="F46" s="40" t="s">
        <x:v>58</x:v>
      </x:c>
      <x:c r="G46" s="40" t="s">
        <x:v>58</x:v>
      </x:c>
      <x:c r="H46" s="7" t="s">
        <x:v>59</x:v>
      </x:c>
      <x:c r="I46" s="39" t="n">
        <x:f>=(E46)*(1)</x:f>
        <x:v>3000</x:v>
      </x:c>
      <x:c r="J46" s="41" t="e">
        <x:f>=ROUNDUP(D46*维护参数!$B$11/维护参数!$B$12*1000,0)</x:f>
        <x:v>#NAME?</x:v>
      </x:c>
      <x:c r="K46" s="7" t="s">
        <x:v>60</x:v>
      </x:c>
      <x:c r="L46" s="24" t="e">
        <x:f>=(MAX(维护参数!$B$4,ROUNDUP(J46/10000,0)))*(维护参数!$B$2)</x:f>
        <x:v>#NAME?</x:v>
      </x:c>
      <x:c r="M46" s="23" t="e">
        <x:f>=ROUNDUP(D46*维护参数!$B$16/维护参数!$B$15/1000,0)*1000</x:f>
        <x:v>#NAME?</x:v>
      </x:c>
      <x:c r="N46" s="23" t="e">
        <x:f>=ROUNDUP(D46*维护参数!$B$17/维护参数!$B$15/10,0)*10</x:f>
        <x:v>#NAME?</x:v>
      </x:c>
      <x:c r="O46" s="23" t="e">
        <x:f>=ROUNDUP(D46*维护参数!$B$18/维护参数!$B$15/10,0)*10</x:f>
        <x:v>#NAME?</x:v>
      </x:c>
      <x:c r="P46" s="23" t="e">
        <x:f>=ROUNDUP(D46*维护参数!$B$19/维护参数!$B$15/10,0)*10</x:f>
        <x:v>#NAME?</x:v>
      </x:c>
      <x:c r="Q46" s="24" t="e">
        <x:f>=M46/1000*维护参数!$B$6+N46*维护参数!$B$7+O46*维护参数!$B$8+P46*维护参数!$B$9</x:f>
        <x:v>#NAME?</x:v>
      </x:c>
      <x:c r="R46" s="24" t="e">
        <x:f>=SUM(L46,Q46)</x:f>
        <x:v>#NAME?</x:v>
      </x:c>
      <x:c r="S46" s="32" t="e">
        <x:f>=R46/I46</x:f>
        <x:v>#NAME?</x:v>
      </x:c>
      <x:c r="T46" s="24" t="e">
        <x:f>=I46-R46</x:f>
        <x:v>#NAME?</x:v>
      </x:c>
      <x:c r="U46" s="32" t="e">
        <x:f>=T46/(D46)</x:f>
        <x:v>#NAME?</x:v>
      </x:c>
      <x:c r="V46" s="24" t="e">
        <x:f>=T46*维护参数!$B$20</x:f>
        <x:v>#NAME?</x:v>
      </x:c>
      <x:c r="W46" s="32" t="e">
        <x:f>=V46/(D46)</x:f>
        <x:v>#NAME?</x:v>
      </x:c>
      <x:c r="X46" s="7" t="s">
        <x:v>107</x:v>
      </x:c>
      <x:c r="Y46" s="7" t="s">
        <x:v>114</x:v>
      </x:c>
    </x:row>
    <x:row r="47" s="98" customFormat="1" ht="22.5" customHeight="1">
      <x:c r="A47" s="7" t="s">
        <x:v>1</x:v>
      </x:c>
      <x:c r="B47" s="7" t="s">
        <x:v>1</x:v>
      </x:c>
      <x:c r="C47" s="7" t="s">
        <x:v>1</x:v>
      </x:c>
      <x:c r="D47" s="42" t="s">
        <x:v>1</x:v>
      </x:c>
      <x:c r="E47" s="42" t="s">
        <x:v>1</x:v>
      </x:c>
      <x:c r="F47" s="42" t="s">
        <x:v>1</x:v>
      </x:c>
      <x:c r="G47" s="42" t="s">
        <x:v>1</x:v>
      </x:c>
      <x:c r="H47" s="7" t="s">
        <x:v>63</x:v>
      </x:c>
      <x:c r="I47" s="39" t="e">
        <x:f>=(D46)*(维护参数!$B$10)</x:f>
        <x:v>#NAME?</x:v>
      </x:c>
      <x:c r="J47" s="30" t="s">
        <x:v>1</x:v>
      </x:c>
      <x:c r="K47" s="7" t="s">
        <x:v>64</x:v>
      </x:c>
      <x:c r="L47" s="24" t="e">
        <x:f>=(MAX(维护参数!$B$5,ROUNDUP(J46/10000,0)))*(维护参数!$B$3)</x:f>
        <x:v>#NAME?</x:v>
      </x:c>
      <x:c r="M47" s="30" t="s">
        <x:v>1</x:v>
      </x:c>
      <x:c r="N47" s="30" t="s">
        <x:v>1</x:v>
      </x:c>
      <x:c r="O47" s="30" t="s">
        <x:v>1</x:v>
      </x:c>
      <x:c r="P47" s="30" t="s">
        <x:v>1</x:v>
      </x:c>
      <x:c r="Q47" s="31" t="s">
        <x:v>1</x:v>
      </x:c>
      <x:c r="R47" s="24" t="e">
        <x:f>=SUM(L47,Q46)</x:f>
        <x:v>#NAME?</x:v>
      </x:c>
      <x:c r="S47" s="32" t="e">
        <x:f>=R47/I47</x:f>
        <x:v>#NAME?</x:v>
      </x:c>
      <x:c r="T47" s="24" t="e">
        <x:f>=I47-R47</x:f>
        <x:v>#NAME?</x:v>
      </x:c>
      <x:c r="U47" s="32" t="e">
        <x:f>=T47/(D46)</x:f>
        <x:v>#NAME?</x:v>
      </x:c>
      <x:c r="V47" s="24" t="e">
        <x:f>=T47*维护参数!$B$20</x:f>
        <x:v>#NAME?</x:v>
      </x:c>
      <x:c r="W47" s="32" t="e">
        <x:f>=V47/(D46)</x:f>
        <x:v>#NAME?</x:v>
      </x:c>
      <x:c r="X47" s="7" t="s">
        <x:v>1</x:v>
      </x:c>
      <x:c r="Y47" s="7" t="s">
        <x:v>1</x:v>
      </x:c>
    </x:row>
    <x:row r="48" s="98" customFormat="1" ht="22.5" customHeight="1">
      <x:c r="A48" s="7" t="s">
        <x:v>115</x:v>
      </x:c>
      <x:c r="B48" s="7" t="s">
        <x:v>72</x:v>
      </x:c>
      <x:c r="C48" s="7" t="s">
        <x:v>116</x:v>
      </x:c>
      <x:c r="D48" s="39">
        <x:v>7800</x:v>
      </x:c>
      <x:c r="E48" s="39" t="n">
        <x:f>=D48*0.6</x:f>
        <x:v>4680</x:v>
      </x:c>
      <x:c r="F48" s="40" t="s">
        <x:v>58</x:v>
      </x:c>
      <x:c r="G48" s="40" t="s">
        <x:v>58</x:v>
      </x:c>
      <x:c r="H48" s="7" t="s">
        <x:v>59</x:v>
      </x:c>
      <x:c r="I48" s="39" t="n">
        <x:f>=(E48)*(1)</x:f>
        <x:v>4680</x:v>
      </x:c>
      <x:c r="J48" s="41" t="e">
        <x:f>=ROUNDUP(D48*维护参数!$B$11/维护参数!$B$12*1000,0)</x:f>
        <x:v>#NAME?</x:v>
      </x:c>
      <x:c r="K48" s="7" t="s">
        <x:v>60</x:v>
      </x:c>
      <x:c r="L48" s="24" t="e">
        <x:f>=(MAX(维护参数!$B$4,ROUNDUP(J48/10000,0)))*(维护参数!$B$2)</x:f>
        <x:v>#NAME?</x:v>
      </x:c>
      <x:c r="M48" s="23" t="e">
        <x:f>=ROUNDUP(D48*维护参数!$B$16/维护参数!$B$15/1000,0)*1000</x:f>
        <x:v>#NAME?</x:v>
      </x:c>
      <x:c r="N48" s="23" t="e">
        <x:f>=ROUNDUP(D48*维护参数!$B$17/维护参数!$B$15/10,0)*10</x:f>
        <x:v>#NAME?</x:v>
      </x:c>
      <x:c r="O48" s="23" t="e">
        <x:f>=ROUNDUP(D48*维护参数!$B$18/维护参数!$B$15/10,0)*10</x:f>
        <x:v>#NAME?</x:v>
      </x:c>
      <x:c r="P48" s="23" t="e">
        <x:f>=ROUNDUP(D48*维护参数!$B$19/维护参数!$B$15/10,0)*10</x:f>
        <x:v>#NAME?</x:v>
      </x:c>
      <x:c r="Q48" s="24" t="e">
        <x:f>=M48/1000*维护参数!$B$6+N48*维护参数!$B$7+O48*维护参数!$B$8+P48*维护参数!$B$9</x:f>
        <x:v>#NAME?</x:v>
      </x:c>
      <x:c r="R48" s="24" t="e">
        <x:f>=SUM(L48,Q48)</x:f>
        <x:v>#NAME?</x:v>
      </x:c>
      <x:c r="S48" s="32" t="e">
        <x:f>=R48/I48</x:f>
        <x:v>#NAME?</x:v>
      </x:c>
      <x:c r="T48" s="24" t="e">
        <x:f>=I48-R48</x:f>
        <x:v>#NAME?</x:v>
      </x:c>
      <x:c r="U48" s="32" t="e">
        <x:f>=T48/(D48)</x:f>
        <x:v>#NAME?</x:v>
      </x:c>
      <x:c r="V48" s="24" t="e">
        <x:f>=T48*维护参数!$B$20</x:f>
        <x:v>#NAME?</x:v>
      </x:c>
      <x:c r="W48" s="32" t="e">
        <x:f>=V48/(D48)</x:f>
        <x:v>#NAME?</x:v>
      </x:c>
      <x:c r="X48" s="7" t="s">
        <x:v>116</x:v>
      </x:c>
      <x:c r="Y48" s="7" t="s">
        <x:v>117</x:v>
      </x:c>
    </x:row>
    <x:row r="49" s="98" customFormat="1" ht="22.5" customHeight="1">
      <x:c r="A49" s="7" t="s">
        <x:v>1</x:v>
      </x:c>
      <x:c r="B49" s="7" t="s">
        <x:v>1</x:v>
      </x:c>
      <x:c r="C49" s="7" t="s">
        <x:v>1</x:v>
      </x:c>
      <x:c r="D49" s="42" t="s">
        <x:v>1</x:v>
      </x:c>
      <x:c r="E49" s="42" t="s">
        <x:v>1</x:v>
      </x:c>
      <x:c r="F49" s="42" t="s">
        <x:v>1</x:v>
      </x:c>
      <x:c r="G49" s="42" t="s">
        <x:v>1</x:v>
      </x:c>
      <x:c r="H49" s="7" t="s">
        <x:v>63</x:v>
      </x:c>
      <x:c r="I49" s="39" t="e">
        <x:f>=(D48)*(维护参数!$B$10)</x:f>
        <x:v>#NAME?</x:v>
      </x:c>
      <x:c r="J49" s="30" t="s">
        <x:v>1</x:v>
      </x:c>
      <x:c r="K49" s="7" t="s">
        <x:v>64</x:v>
      </x:c>
      <x:c r="L49" s="24" t="e">
        <x:f>=(MAX(维护参数!$B$5,ROUNDUP(J48/10000,0)))*(维护参数!$B$3)</x:f>
        <x:v>#NAME?</x:v>
      </x:c>
      <x:c r="M49" s="30" t="s">
        <x:v>1</x:v>
      </x:c>
      <x:c r="N49" s="30" t="s">
        <x:v>1</x:v>
      </x:c>
      <x:c r="O49" s="30" t="s">
        <x:v>1</x:v>
      </x:c>
      <x:c r="P49" s="30" t="s">
        <x:v>1</x:v>
      </x:c>
      <x:c r="Q49" s="31" t="s">
        <x:v>1</x:v>
      </x:c>
      <x:c r="R49" s="24" t="e">
        <x:f>=SUM(L49,Q48)</x:f>
        <x:v>#NAME?</x:v>
      </x:c>
      <x:c r="S49" s="32" t="e">
        <x:f>=R49/I49</x:f>
        <x:v>#NAME?</x:v>
      </x:c>
      <x:c r="T49" s="24" t="e">
        <x:f>=I49-R49</x:f>
        <x:v>#NAME?</x:v>
      </x:c>
      <x:c r="U49" s="32" t="e">
        <x:f>=T49/(D48)</x:f>
        <x:v>#NAME?</x:v>
      </x:c>
      <x:c r="V49" s="24" t="e">
        <x:f>=T49*维护参数!$B$20</x:f>
        <x:v>#NAME?</x:v>
      </x:c>
      <x:c r="W49" s="32" t="e">
        <x:f>=V49/(D48)</x:f>
        <x:v>#NAME?</x:v>
      </x:c>
      <x:c r="X49" s="7" t="s">
        <x:v>1</x:v>
      </x:c>
      <x:c r="Y49" s="7" t="s">
        <x:v>1</x:v>
      </x:c>
    </x:row>
    <x:row r="50" s="98" customFormat="1" ht="22.5" customHeight="1">
      <x:c r="A50" s="7" t="s">
        <x:v>118</x:v>
      </x:c>
      <x:c r="B50" s="7" t="s">
        <x:v>96</x:v>
      </x:c>
      <x:c r="C50" s="7" t="s">
        <x:v>116</x:v>
      </x:c>
      <x:c r="D50" s="39">
        <x:v>7400</x:v>
      </x:c>
      <x:c r="E50" s="39" t="n">
        <x:f>=D50*0.6</x:f>
        <x:v>4440</x:v>
      </x:c>
      <x:c r="F50" s="40" t="s">
        <x:v>58</x:v>
      </x:c>
      <x:c r="G50" s="40" t="s">
        <x:v>58</x:v>
      </x:c>
      <x:c r="H50" s="7" t="s">
        <x:v>59</x:v>
      </x:c>
      <x:c r="I50" s="39" t="n">
        <x:f>=(E50)*(1)</x:f>
        <x:v>4440</x:v>
      </x:c>
      <x:c r="J50" s="41" t="e">
        <x:f>=ROUNDUP(D50*维护参数!$B$11/维护参数!$B$12*1000,0)</x:f>
        <x:v>#NAME?</x:v>
      </x:c>
      <x:c r="K50" s="7" t="s">
        <x:v>60</x:v>
      </x:c>
      <x:c r="L50" s="24" t="e">
        <x:f>=(MAX(维护参数!$B$4,ROUNDUP(J50/10000,0)))*(维护参数!$B$2)</x:f>
        <x:v>#NAME?</x:v>
      </x:c>
      <x:c r="M50" s="23" t="e">
        <x:f>=ROUNDUP(D50*维护参数!$B$16/维护参数!$B$15/1000,0)*1000</x:f>
        <x:v>#NAME?</x:v>
      </x:c>
      <x:c r="N50" s="23" t="e">
        <x:f>=ROUNDUP(D50*维护参数!$B$17/维护参数!$B$15/10,0)*10</x:f>
        <x:v>#NAME?</x:v>
      </x:c>
      <x:c r="O50" s="23" t="e">
        <x:f>=ROUNDUP(D50*维护参数!$B$18/维护参数!$B$15/10,0)*10</x:f>
        <x:v>#NAME?</x:v>
      </x:c>
      <x:c r="P50" s="23" t="e">
        <x:f>=ROUNDUP(D50*维护参数!$B$19/维护参数!$B$15/10,0)*10</x:f>
        <x:v>#NAME?</x:v>
      </x:c>
      <x:c r="Q50" s="24" t="e">
        <x:f>=M50/1000*维护参数!$B$6+N50*维护参数!$B$7+O50*维护参数!$B$8+P50*维护参数!$B$9</x:f>
        <x:v>#NAME?</x:v>
      </x:c>
      <x:c r="R50" s="24" t="e">
        <x:f>=SUM(L50,Q50)</x:f>
        <x:v>#NAME?</x:v>
      </x:c>
      <x:c r="S50" s="32" t="e">
        <x:f>=R50/I50</x:f>
        <x:v>#NAME?</x:v>
      </x:c>
      <x:c r="T50" s="24" t="e">
        <x:f>=I50-R50</x:f>
        <x:v>#NAME?</x:v>
      </x:c>
      <x:c r="U50" s="32" t="e">
        <x:f>=T50/(D50)</x:f>
        <x:v>#NAME?</x:v>
      </x:c>
      <x:c r="V50" s="24" t="e">
        <x:f>=T50*维护参数!$B$20</x:f>
        <x:v>#NAME?</x:v>
      </x:c>
      <x:c r="W50" s="32" t="e">
        <x:f>=V50/(D50)</x:f>
        <x:v>#NAME?</x:v>
      </x:c>
      <x:c r="X50" s="7" t="s">
        <x:v>116</x:v>
      </x:c>
      <x:c r="Y50" s="7" t="s">
        <x:v>119</x:v>
      </x:c>
    </x:row>
    <x:row r="51" s="98" customFormat="1" ht="22.5" customHeight="1">
      <x:c r="A51" s="7" t="s">
        <x:v>1</x:v>
      </x:c>
      <x:c r="B51" s="7" t="s">
        <x:v>1</x:v>
      </x:c>
      <x:c r="C51" s="7" t="s">
        <x:v>1</x:v>
      </x:c>
      <x:c r="D51" s="42" t="s">
        <x:v>1</x:v>
      </x:c>
      <x:c r="E51" s="42" t="s">
        <x:v>1</x:v>
      </x:c>
      <x:c r="F51" s="42" t="s">
        <x:v>1</x:v>
      </x:c>
      <x:c r="G51" s="42" t="s">
        <x:v>1</x:v>
      </x:c>
      <x:c r="H51" s="7" t="s">
        <x:v>63</x:v>
      </x:c>
      <x:c r="I51" s="39" t="e">
        <x:f>=(D50)*(维护参数!$B$10)</x:f>
        <x:v>#NAME?</x:v>
      </x:c>
      <x:c r="J51" s="30" t="s">
        <x:v>1</x:v>
      </x:c>
      <x:c r="K51" s="7" t="s">
        <x:v>64</x:v>
      </x:c>
      <x:c r="L51" s="24" t="e">
        <x:f>=(MAX(维护参数!$B$5,ROUNDUP(J50/10000,0)))*(维护参数!$B$3)</x:f>
        <x:v>#NAME?</x:v>
      </x:c>
      <x:c r="M51" s="30" t="s">
        <x:v>1</x:v>
      </x:c>
      <x:c r="N51" s="30" t="s">
        <x:v>1</x:v>
      </x:c>
      <x:c r="O51" s="30" t="s">
        <x:v>1</x:v>
      </x:c>
      <x:c r="P51" s="30" t="s">
        <x:v>1</x:v>
      </x:c>
      <x:c r="Q51" s="31" t="s">
        <x:v>1</x:v>
      </x:c>
      <x:c r="R51" s="24" t="e">
        <x:f>=SUM(L51,Q50)</x:f>
        <x:v>#NAME?</x:v>
      </x:c>
      <x:c r="S51" s="32" t="e">
        <x:f>=R51/I51</x:f>
        <x:v>#NAME?</x:v>
      </x:c>
      <x:c r="T51" s="24" t="e">
        <x:f>=I51-R51</x:f>
        <x:v>#NAME?</x:v>
      </x:c>
      <x:c r="U51" s="32" t="e">
        <x:f>=T51/(D50)</x:f>
        <x:v>#NAME?</x:v>
      </x:c>
      <x:c r="V51" s="24" t="e">
        <x:f>=T51*维护参数!$B$20</x:f>
        <x:v>#NAME?</x:v>
      </x:c>
      <x:c r="W51" s="32" t="e">
        <x:f>=V51/(D50)</x:f>
        <x:v>#NAME?</x:v>
      </x:c>
      <x:c r="X51" s="7" t="s">
        <x:v>1</x:v>
      </x:c>
      <x:c r="Y51" s="7" t="s">
        <x:v>1</x:v>
      </x:c>
    </x:row>
    <x:row r="52" s="98" customFormat="1" ht="22.5" customHeight="1">
      <x:c r="A52" s="7" t="s">
        <x:v>120</x:v>
      </x:c>
      <x:c r="B52" s="7" t="s">
        <x:v>72</x:v>
      </x:c>
      <x:c r="C52" s="7" t="s">
        <x:v>116</x:v>
      </x:c>
      <x:c r="D52" s="39">
        <x:v>5000</x:v>
      </x:c>
      <x:c r="E52" s="39" t="n">
        <x:f>=D52*0.6</x:f>
        <x:v>3000</x:v>
      </x:c>
      <x:c r="F52" s="40" t="s">
        <x:v>58</x:v>
      </x:c>
      <x:c r="G52" s="40" t="s">
        <x:v>58</x:v>
      </x:c>
      <x:c r="H52" s="7" t="s">
        <x:v>59</x:v>
      </x:c>
      <x:c r="I52" s="39" t="n">
        <x:f>=(E52)*(1)</x:f>
        <x:v>3000</x:v>
      </x:c>
      <x:c r="J52" s="41" t="e">
        <x:f>=ROUNDUP(D52*维护参数!$B$11/维护参数!$B$12*1000,0)</x:f>
        <x:v>#NAME?</x:v>
      </x:c>
      <x:c r="K52" s="7" t="s">
        <x:v>60</x:v>
      </x:c>
      <x:c r="L52" s="24" t="e">
        <x:f>=(MAX(维护参数!$B$4,ROUNDUP(J52/10000,0)))*(维护参数!$B$2)</x:f>
        <x:v>#NAME?</x:v>
      </x:c>
      <x:c r="M52" s="23" t="e">
        <x:f>=ROUNDUP(D52*维护参数!$B$16/维护参数!$B$15/1000,0)*1000</x:f>
        <x:v>#NAME?</x:v>
      </x:c>
      <x:c r="N52" s="23" t="e">
        <x:f>=ROUNDUP(D52*维护参数!$B$17/维护参数!$B$15/10,0)*10</x:f>
        <x:v>#NAME?</x:v>
      </x:c>
      <x:c r="O52" s="23" t="e">
        <x:f>=ROUNDUP(D52*维护参数!$B$18/维护参数!$B$15/10,0)*10</x:f>
        <x:v>#NAME?</x:v>
      </x:c>
      <x:c r="P52" s="23" t="e">
        <x:f>=ROUNDUP(D52*维护参数!$B$19/维护参数!$B$15/10,0)*10</x:f>
        <x:v>#NAME?</x:v>
      </x:c>
      <x:c r="Q52" s="24" t="e">
        <x:f>=M52/1000*维护参数!$B$6+N52*维护参数!$B$7+O52*维护参数!$B$8+P52*维护参数!$B$9</x:f>
        <x:v>#NAME?</x:v>
      </x:c>
      <x:c r="R52" s="24" t="e">
        <x:f>=SUM(L52,Q52)</x:f>
        <x:v>#NAME?</x:v>
      </x:c>
      <x:c r="S52" s="32" t="e">
        <x:f>=R52/I52</x:f>
        <x:v>#NAME?</x:v>
      </x:c>
      <x:c r="T52" s="24" t="e">
        <x:f>=I52-R52</x:f>
        <x:v>#NAME?</x:v>
      </x:c>
      <x:c r="U52" s="32" t="e">
        <x:f>=T52/(D52)</x:f>
        <x:v>#NAME?</x:v>
      </x:c>
      <x:c r="V52" s="24" t="e">
        <x:f>=T52*维护参数!$B$20</x:f>
        <x:v>#NAME?</x:v>
      </x:c>
      <x:c r="W52" s="32" t="e">
        <x:f>=V52/(D52)</x:f>
        <x:v>#NAME?</x:v>
      </x:c>
      <x:c r="X52" s="7" t="s">
        <x:v>116</x:v>
      </x:c>
      <x:c r="Y52" s="37" t="s">
        <x:v>121</x:v>
      </x:c>
    </x:row>
    <x:row r="53" s="98" customFormat="1" ht="22.5" customHeight="1">
      <x:c r="A53" s="7" t="s">
        <x:v>1</x:v>
      </x:c>
      <x:c r="B53" s="7" t="s">
        <x:v>1</x:v>
      </x:c>
      <x:c r="C53" s="7" t="s">
        <x:v>1</x:v>
      </x:c>
      <x:c r="D53" s="42" t="s">
        <x:v>1</x:v>
      </x:c>
      <x:c r="E53" s="42" t="s">
        <x:v>1</x:v>
      </x:c>
      <x:c r="F53" s="42" t="s">
        <x:v>1</x:v>
      </x:c>
      <x:c r="G53" s="42" t="s">
        <x:v>1</x:v>
      </x:c>
      <x:c r="H53" s="7" t="s">
        <x:v>63</x:v>
      </x:c>
      <x:c r="I53" s="39" t="e">
        <x:f>=(D52)*(维护参数!$B$10)</x:f>
        <x:v>#NAME?</x:v>
      </x:c>
      <x:c r="J53" s="30" t="s">
        <x:v>1</x:v>
      </x:c>
      <x:c r="K53" s="7" t="s">
        <x:v>64</x:v>
      </x:c>
      <x:c r="L53" s="24" t="e">
        <x:f>=(MAX(维护参数!$B$5,ROUNDUP(J52/10000,0)))*(维护参数!$B$3)</x:f>
        <x:v>#NAME?</x:v>
      </x:c>
      <x:c r="M53" s="30" t="s">
        <x:v>1</x:v>
      </x:c>
      <x:c r="N53" s="30" t="s">
        <x:v>1</x:v>
      </x:c>
      <x:c r="O53" s="30" t="s">
        <x:v>1</x:v>
      </x:c>
      <x:c r="P53" s="30" t="s">
        <x:v>1</x:v>
      </x:c>
      <x:c r="Q53" s="31" t="s">
        <x:v>1</x:v>
      </x:c>
      <x:c r="R53" s="24" t="e">
        <x:f>=SUM(L53,Q52)</x:f>
        <x:v>#NAME?</x:v>
      </x:c>
      <x:c r="S53" s="32" t="e">
        <x:f>=R53/I53</x:f>
        <x:v>#NAME?</x:v>
      </x:c>
      <x:c r="T53" s="24" t="e">
        <x:f>=I53-R53</x:f>
        <x:v>#NAME?</x:v>
      </x:c>
      <x:c r="U53" s="32" t="e">
        <x:f>=T53/(D52)</x:f>
        <x:v>#NAME?</x:v>
      </x:c>
      <x:c r="V53" s="24" t="e">
        <x:f>=T53*维护参数!$B$20</x:f>
        <x:v>#NAME?</x:v>
      </x:c>
      <x:c r="W53" s="32" t="e">
        <x:f>=V53/(D52)</x:f>
        <x:v>#NAME?</x:v>
      </x:c>
      <x:c r="X53" s="7" t="s">
        <x:v>1</x:v>
      </x:c>
      <x:c r="Y53" s="7" t="s">
        <x:v>1</x:v>
      </x:c>
    </x:row>
  </x:sheetData>
  <x:mergeCells>
    <x:mergeCell ref="Q36:Q37"/>
    <x:mergeCell ref="P36:P37"/>
    <x:mergeCell ref="O36:O37"/>
    <x:mergeCell ref="N36:N37"/>
    <x:mergeCell ref="M36:M37"/>
    <x:mergeCell ref="J36:J37"/>
    <x:mergeCell ref="E36:E37"/>
    <x:mergeCell ref="D36:D37"/>
    <x:mergeCell ref="B36:B37"/>
    <x:mergeCell ref="A36:A37"/>
    <x:mergeCell ref="Q34:Q35"/>
    <x:mergeCell ref="P34:P35"/>
    <x:mergeCell ref="O34:O35"/>
    <x:mergeCell ref="N34:N35"/>
    <x:mergeCell ref="M34:M35"/>
    <x:mergeCell ref="J34:J35"/>
    <x:mergeCell ref="G34:G35"/>
    <x:mergeCell ref="F34:F35"/>
    <x:mergeCell ref="E34:E35"/>
    <x:mergeCell ref="D34:D35"/>
    <x:mergeCell ref="B34:B35"/>
    <x:mergeCell ref="A34:A35"/>
    <x:mergeCell ref="Q32:Q33"/>
    <x:mergeCell ref="P32:P33"/>
    <x:mergeCell ref="O32:O33"/>
    <x:mergeCell ref="N32:N33"/>
    <x:mergeCell ref="M32:M33"/>
    <x:mergeCell ref="J32:J33"/>
    <x:mergeCell ref="E32:E33"/>
    <x:mergeCell ref="D32:D33"/>
    <x:mergeCell ref="B32:B33"/>
    <x:mergeCell ref="A32:A33"/>
    <x:mergeCell ref="Q30:Q31"/>
    <x:mergeCell ref="P30:P31"/>
    <x:mergeCell ref="O30:O31"/>
    <x:mergeCell ref="N30:N31"/>
    <x:mergeCell ref="M30:M31"/>
    <x:mergeCell ref="J30:J31"/>
    <x:mergeCell ref="E30:E31"/>
    <x:mergeCell ref="D30:D31"/>
    <x:mergeCell ref="B30:B31"/>
    <x:mergeCell ref="A30:A31"/>
    <x:mergeCell ref="Q28:Q29"/>
    <x:mergeCell ref="P28:P29"/>
    <x:mergeCell ref="O28:O29"/>
    <x:mergeCell ref="N28:N29"/>
    <x:mergeCell ref="M28:M29"/>
    <x:mergeCell ref="J28:J29"/>
    <x:mergeCell ref="E28:E29"/>
    <x:mergeCell ref="D28:D29"/>
    <x:mergeCell ref="B28:B29"/>
    <x:mergeCell ref="A28:A29"/>
    <x:mergeCell ref="Q26:Q27"/>
    <x:mergeCell ref="P26:P27"/>
    <x:mergeCell ref="O26:O27"/>
    <x:mergeCell ref="N26:N27"/>
    <x:mergeCell ref="M26:M27"/>
    <x:mergeCell ref="J26:J27"/>
    <x:mergeCell ref="G26:G27"/>
    <x:mergeCell ref="F26:F27"/>
    <x:mergeCell ref="E26:E27"/>
    <x:mergeCell ref="D26:D27"/>
    <x:mergeCell ref="B26:B27"/>
    <x:mergeCell ref="A26:A27"/>
    <x:mergeCell ref="Q24:Q25"/>
    <x:mergeCell ref="P24:P25"/>
    <x:mergeCell ref="O24:O25"/>
    <x:mergeCell ref="N24:N25"/>
    <x:mergeCell ref="M24:M25"/>
    <x:mergeCell ref="J24:J25"/>
    <x:mergeCell ref="G24:G25"/>
    <x:mergeCell ref="F24:F25"/>
    <x:mergeCell ref="E24:E25"/>
    <x:mergeCell ref="D24:D25"/>
    <x:mergeCell ref="B24:B25"/>
    <x:mergeCell ref="A24:A25"/>
    <x:mergeCell ref="Q22:Q23"/>
    <x:mergeCell ref="P22:P23"/>
    <x:mergeCell ref="O22:O23"/>
    <x:mergeCell ref="N22:N23"/>
    <x:mergeCell ref="M22:M23"/>
    <x:mergeCell ref="J22:J23"/>
    <x:mergeCell ref="E22:E23"/>
    <x:mergeCell ref="D22:D23"/>
    <x:mergeCell ref="B22:B23"/>
    <x:mergeCell ref="A22:A23"/>
    <x:mergeCell ref="Q20:Q21"/>
    <x:mergeCell ref="P20:P21"/>
    <x:mergeCell ref="O20:O21"/>
    <x:mergeCell ref="N20:N21"/>
    <x:mergeCell ref="M20:M21"/>
    <x:mergeCell ref="J20:J21"/>
    <x:mergeCell ref="G20:G21"/>
    <x:mergeCell ref="F20:F21"/>
    <x:mergeCell ref="E20:E21"/>
    <x:mergeCell ref="D20:D21"/>
    <x:mergeCell ref="B20:B21"/>
    <x:mergeCell ref="A20:A21"/>
    <x:mergeCell ref="Q18:Q19"/>
    <x:mergeCell ref="P18:P19"/>
    <x:mergeCell ref="O18:O19"/>
    <x:mergeCell ref="N18:N19"/>
    <x:mergeCell ref="M18:M19"/>
    <x:mergeCell ref="J18:J19"/>
    <x:mergeCell ref="E18:E19"/>
    <x:mergeCell ref="D18:D19"/>
    <x:mergeCell ref="B18:B19"/>
    <x:mergeCell ref="A18:A19"/>
    <x:mergeCell ref="Q16:Q17"/>
    <x:mergeCell ref="P16:P17"/>
    <x:mergeCell ref="O16:O17"/>
    <x:mergeCell ref="N16:N17"/>
    <x:mergeCell ref="M16:M17"/>
    <x:mergeCell ref="J16:J17"/>
    <x:mergeCell ref="G16:G17"/>
    <x:mergeCell ref="F16:F17"/>
    <x:mergeCell ref="E16:E17"/>
    <x:mergeCell ref="D16:D17"/>
    <x:mergeCell ref="B16:B17"/>
    <x:mergeCell ref="A16:A17"/>
    <x:mergeCell ref="Q14:Q15"/>
    <x:mergeCell ref="P14:P15"/>
    <x:mergeCell ref="O14:O15"/>
    <x:mergeCell ref="N14:N15"/>
    <x:mergeCell ref="M14:M15"/>
    <x:mergeCell ref="J14:J15"/>
    <x:mergeCell ref="G14:G15"/>
    <x:mergeCell ref="F14:F15"/>
    <x:mergeCell ref="E14:E15"/>
    <x:mergeCell ref="D14:D15"/>
    <x:mergeCell ref="B14:B15"/>
    <x:mergeCell ref="A14:A15"/>
    <x:mergeCell ref="Y36:Y37"/>
    <x:mergeCell ref="Y34:Y35"/>
    <x:mergeCell ref="Y32:Y33"/>
    <x:mergeCell ref="Y30:Y31"/>
    <x:mergeCell ref="Y28:Y29"/>
    <x:mergeCell ref="Y26:Y27"/>
    <x:mergeCell ref="Y24:Y25"/>
    <x:mergeCell ref="Y22:Y23"/>
    <x:mergeCell ref="Y20:Y21"/>
    <x:mergeCell ref="Y18:Y19"/>
    <x:mergeCell ref="Y16:Y17"/>
    <x:mergeCell ref="Y14:Y15"/>
    <x:mergeCell ref="C36:C37"/>
    <x:mergeCell ref="C34:C35"/>
    <x:mergeCell ref="C32:C33"/>
    <x:mergeCell ref="C30:C31"/>
    <x:mergeCell ref="C28:C29"/>
    <x:mergeCell ref="C26:C27"/>
    <x:mergeCell ref="C24:C25"/>
    <x:mergeCell ref="C22:C23"/>
    <x:mergeCell ref="C20:C21"/>
    <x:mergeCell ref="C18:C19"/>
    <x:mergeCell ref="C16:C17"/>
    <x:mergeCell ref="C14:C15"/>
    <x:mergeCell ref="A2:Y8"/>
    <x:mergeCell ref="A1:Y1"/>
    <x:mergeCell ref="X14:X15"/>
    <x:mergeCell ref="X16:X17"/>
    <x:mergeCell ref="X18:X19"/>
    <x:mergeCell ref="X20:X21"/>
    <x:mergeCell ref="X22:X23"/>
    <x:mergeCell ref="X24:X25"/>
    <x:mergeCell ref="X26:X27"/>
    <x:mergeCell ref="X28:X29"/>
    <x:mergeCell ref="X30:X31"/>
    <x:mergeCell ref="X32:X33"/>
    <x:mergeCell ref="X34:X35"/>
    <x:mergeCell ref="X36:X37"/>
    <x:mergeCell ref="A38:A39"/>
    <x:mergeCell ref="B38:B39"/>
    <x:mergeCell ref="C38:C39"/>
    <x:mergeCell ref="D38:D39"/>
    <x:mergeCell ref="E38:E39"/>
    <x:mergeCell ref="J38:J39"/>
    <x:mergeCell ref="M38:M39"/>
    <x:mergeCell ref="N38:N39"/>
    <x:mergeCell ref="O38:O39"/>
    <x:mergeCell ref="P38:P39"/>
    <x:mergeCell ref="Q38:Q39"/>
    <x:mergeCell ref="Y38:Y39"/>
    <x:mergeCell ref="A40:A41"/>
    <x:mergeCell ref="B40:B41"/>
    <x:mergeCell ref="C40:C41"/>
    <x:mergeCell ref="D40:D41"/>
    <x:mergeCell ref="E40:E41"/>
    <x:mergeCell ref="J40:J41"/>
    <x:mergeCell ref="M40:M41"/>
    <x:mergeCell ref="N40:N41"/>
    <x:mergeCell ref="O40:O41"/>
    <x:mergeCell ref="P40:P41"/>
    <x:mergeCell ref="Q40:Q41"/>
    <x:mergeCell ref="Y40:Y41"/>
    <x:mergeCell ref="A42:A43"/>
    <x:mergeCell ref="B42:B43"/>
    <x:mergeCell ref="C42:C43"/>
    <x:mergeCell ref="D42:D43"/>
    <x:mergeCell ref="E42:E43"/>
    <x:mergeCell ref="J42:J43"/>
    <x:mergeCell ref="M42:M43"/>
    <x:mergeCell ref="N42:N43"/>
    <x:mergeCell ref="O42:O43"/>
    <x:mergeCell ref="P42:P43"/>
    <x:mergeCell ref="Q42:Q43"/>
    <x:mergeCell ref="Y42:Y43"/>
    <x:mergeCell ref="A44:A45"/>
    <x:mergeCell ref="B44:B45"/>
    <x:mergeCell ref="C44:C45"/>
    <x:mergeCell ref="D44:D45"/>
    <x:mergeCell ref="E44:E45"/>
    <x:mergeCell ref="J44:J45"/>
    <x:mergeCell ref="M44:M45"/>
    <x:mergeCell ref="N44:N45"/>
    <x:mergeCell ref="O44:O45"/>
    <x:mergeCell ref="P44:P45"/>
    <x:mergeCell ref="Q44:Q45"/>
    <x:mergeCell ref="Y44:Y45"/>
    <x:mergeCell ref="A46:A47"/>
    <x:mergeCell ref="B46:B47"/>
    <x:mergeCell ref="C46:C47"/>
    <x:mergeCell ref="D46:D47"/>
    <x:mergeCell ref="E46:E47"/>
    <x:mergeCell ref="J46:J47"/>
    <x:mergeCell ref="M46:M47"/>
    <x:mergeCell ref="N46:N47"/>
    <x:mergeCell ref="O46:O47"/>
    <x:mergeCell ref="P46:P47"/>
    <x:mergeCell ref="Q46:Q47"/>
    <x:mergeCell ref="Y46:Y47"/>
    <x:mergeCell ref="A48:A49"/>
    <x:mergeCell ref="B48:B49"/>
    <x:mergeCell ref="C48:C49"/>
    <x:mergeCell ref="D48:D49"/>
    <x:mergeCell ref="E48:E49"/>
    <x:mergeCell ref="J48:J49"/>
    <x:mergeCell ref="M48:M49"/>
    <x:mergeCell ref="N48:N49"/>
    <x:mergeCell ref="O48:O49"/>
    <x:mergeCell ref="P48:P49"/>
    <x:mergeCell ref="Q48:Q49"/>
    <x:mergeCell ref="Y48:Y49"/>
    <x:mergeCell ref="A50:A51"/>
    <x:mergeCell ref="B50:B51"/>
    <x:mergeCell ref="C50:C51"/>
    <x:mergeCell ref="D50:D51"/>
    <x:mergeCell ref="E50:E51"/>
    <x:mergeCell ref="J50:J51"/>
    <x:mergeCell ref="M50:M51"/>
    <x:mergeCell ref="N50:N51"/>
    <x:mergeCell ref="O50:O51"/>
    <x:mergeCell ref="P50:P51"/>
    <x:mergeCell ref="Q50:Q51"/>
    <x:mergeCell ref="Y50:Y51"/>
    <x:mergeCell ref="A52:A53"/>
    <x:mergeCell ref="B52:B53"/>
    <x:mergeCell ref="C52:C53"/>
    <x:mergeCell ref="D52:D53"/>
    <x:mergeCell ref="E52:E53"/>
    <x:mergeCell ref="J52:J53"/>
    <x:mergeCell ref="M52:M53"/>
    <x:mergeCell ref="N52:N53"/>
    <x:mergeCell ref="O52:O53"/>
    <x:mergeCell ref="P52:P53"/>
    <x:mergeCell ref="Q52:Q53"/>
    <x:mergeCell ref="Y52:Y53"/>
    <x:mergeCell ref="A10:A11"/>
    <x:mergeCell ref="B10:B11"/>
    <x:mergeCell ref="C10:C11"/>
    <x:mergeCell ref="D10:D11"/>
    <x:mergeCell ref="E10:E11"/>
    <x:mergeCell ref="J10:J11"/>
    <x:mergeCell ref="M10:M11"/>
    <x:mergeCell ref="N10:N11"/>
    <x:mergeCell ref="O10:O11"/>
    <x:mergeCell ref="P10:P11"/>
    <x:mergeCell ref="Q10:Q11"/>
    <x:mergeCell ref="X10:X11"/>
    <x:mergeCell ref="A12:A13"/>
    <x:mergeCell ref="B12:B13"/>
    <x:mergeCell ref="C12:C13"/>
    <x:mergeCell ref="D12:D13"/>
    <x:mergeCell ref="E12:E13"/>
    <x:mergeCell ref="J12:J13"/>
    <x:mergeCell ref="M12:M13"/>
    <x:mergeCell ref="N12:N13"/>
    <x:mergeCell ref="O12:O13"/>
    <x:mergeCell ref="P12:P13"/>
    <x:mergeCell ref="Q12:Q13"/>
    <x:mergeCell ref="X12:X13"/>
    <x:mergeCell ref="Y12:Y13"/>
    <x:mergeCell ref="F10:F11"/>
    <x:mergeCell ref="G10:G11"/>
    <x:mergeCell ref="G18:G19"/>
    <x:mergeCell ref="F18:F19"/>
    <x:mergeCell ref="F22:F23"/>
    <x:mergeCell ref="G22:G23"/>
    <x:mergeCell ref="G32:G33"/>
    <x:mergeCell ref="F32:F33"/>
    <x:mergeCell ref="F28:F29"/>
    <x:mergeCell ref="G28:G29"/>
    <x:mergeCell ref="F30:F31"/>
    <x:mergeCell ref="G30:G31"/>
    <x:mergeCell ref="F36:F37"/>
    <x:mergeCell ref="G36:G37"/>
    <x:mergeCell ref="F38:F39"/>
    <x:mergeCell ref="G38:G39"/>
    <x:mergeCell ref="F40:F41"/>
    <x:mergeCell ref="G40:G41"/>
    <x:mergeCell ref="F42:F43"/>
    <x:mergeCell ref="G42:G43"/>
    <x:mergeCell ref="F44:F45"/>
    <x:mergeCell ref="G44:G45"/>
    <x:mergeCell ref="F46:F47"/>
    <x:mergeCell ref="G46:G47"/>
    <x:mergeCell ref="F48:F49"/>
    <x:mergeCell ref="G48:G49"/>
    <x:mergeCell ref="F50:F51"/>
    <x:mergeCell ref="G50:G51"/>
    <x:mergeCell ref="F52:F53"/>
    <x:mergeCell ref="G52:G53"/>
    <x:mergeCell ref="X38:X39"/>
    <x:mergeCell ref="X40:X41"/>
    <x:mergeCell ref="X42:X43"/>
    <x:mergeCell ref="X44:X45"/>
    <x:mergeCell ref="X46:X47"/>
    <x:mergeCell ref="X48:X49"/>
    <x:mergeCell ref="X50:X51"/>
    <x:mergeCell ref="X52:X53"/>
    <x:mergeCell ref="Y10:Y11"/>
    <x:mergeCell ref="F12:F13"/>
    <x:mergeCell ref="G12:G13"/>
  </x:mergeCells>
  <x:hyperlinks>
    <x:hyperlink xmlns:r="http://schemas.openxmlformats.org/officeDocument/2006/relationships" ref="Y10" r:id="R9365d11aae944ebc"/>
    <x:hyperlink xmlns:r="http://schemas.openxmlformats.org/officeDocument/2006/relationships" ref="Y12" r:id="R691c7d72166343fe"/>
    <x:hyperlink xmlns:r="http://schemas.openxmlformats.org/officeDocument/2006/relationships" ref="Y14" r:id="R5372945c108e4583"/>
    <x:hyperlink xmlns:r="http://schemas.openxmlformats.org/officeDocument/2006/relationships" ref="Y16" r:id="R0bee55750d2a4ddb"/>
    <x:hyperlink xmlns:r="http://schemas.openxmlformats.org/officeDocument/2006/relationships" ref="Y18" r:id="R57c4a18ed9c7485a"/>
    <x:hyperlink xmlns:r="http://schemas.openxmlformats.org/officeDocument/2006/relationships" ref="Y20" r:id="R9c486fb1d7d64172"/>
    <x:hyperlink xmlns:r="http://schemas.openxmlformats.org/officeDocument/2006/relationships" ref="Y22" r:id="R4cc6266a24e24fa8"/>
    <x:hyperlink xmlns:r="http://schemas.openxmlformats.org/officeDocument/2006/relationships" ref="Y24" r:id="R9c9b60252a974244"/>
    <x:hyperlink xmlns:r="http://schemas.openxmlformats.org/officeDocument/2006/relationships" ref="Y26" r:id="R681937a9af38402e"/>
    <x:hyperlink xmlns:r="http://schemas.openxmlformats.org/officeDocument/2006/relationships" ref="Y28" r:id="R54ddececefd54cd3"/>
    <x:hyperlink xmlns:r="http://schemas.openxmlformats.org/officeDocument/2006/relationships" ref="Y30" r:id="Rd0476b645d0b429d"/>
    <x:hyperlink xmlns:r="http://schemas.openxmlformats.org/officeDocument/2006/relationships" ref="Y32" r:id="R77ea408a68cf4d2f"/>
    <x:hyperlink xmlns:r="http://schemas.openxmlformats.org/officeDocument/2006/relationships" ref="Y34" r:id="Rd31320e39816499b"/>
    <x:hyperlink xmlns:r="http://schemas.openxmlformats.org/officeDocument/2006/relationships" ref="Y36" r:id="R9554d447fd9f4abe"/>
    <x:hyperlink xmlns:r="http://schemas.openxmlformats.org/officeDocument/2006/relationships" ref="Y38" r:id="Rc1faefd44a774b12"/>
    <x:hyperlink xmlns:r="http://schemas.openxmlformats.org/officeDocument/2006/relationships" ref="Y40" r:id="R12eb9fe14c254dd9"/>
    <x:hyperlink xmlns:r="http://schemas.openxmlformats.org/officeDocument/2006/relationships" ref="Y42" r:id="R58fc277acabe445e"/>
    <x:hyperlink xmlns:r="http://schemas.openxmlformats.org/officeDocument/2006/relationships" ref="Y44" r:id="Rde70eae6f3cb4279"/>
    <x:hyperlink xmlns:r="http://schemas.openxmlformats.org/officeDocument/2006/relationships" ref="Y46" r:id="R594d1889ebad46b4"/>
    <x:hyperlink xmlns:r="http://schemas.openxmlformats.org/officeDocument/2006/relationships" ref="Y48" r:id="Re08e165c09564621"/>
    <x:hyperlink xmlns:r="http://schemas.openxmlformats.org/officeDocument/2006/relationships" ref="Y50" r:id="R1fa385c1eaac4a48"/>
    <x:hyperlink xmlns:r="http://schemas.openxmlformats.org/officeDocument/2006/relationships" ref="Y52" r:id="R3f92bdfbf09c48b5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5.199999809265137"/>
  <x:cols>
    <x:col min="1" max="1" width="24" customWidth="1"/>
    <x:col min="2" max="2" width="12" customWidth="1"/>
    <x:col min="3" max="3" width="44" customWidth="1"/>
  </x:cols>
  <x:sheetData>
    <x:row r="1" ht="30" customHeight="1">
      <x:c r="A1" s="4" t="s">
        <x:v>125</x:v>
      </x:c>
      <x:c r="B1" s="4" t="s">
        <x:v>126</x:v>
      </x:c>
      <x:c r="C1" s="4" t="s">
        <x:v>127</x:v>
      </x:c>
    </x:row>
    <x:row r="2" ht="24" customHeight="1">
      <x:c r="A2" s="5" t="s">
        <x:v>128</x:v>
      </x:c>
      <x:c r="B2" s="5">
        <x:v>21</x:v>
      </x:c>
      <x:c r="C2" s="5" t="s">
        <x:v>129</x:v>
      </x:c>
    </x:row>
    <x:row r="3" ht="24" customHeight="1">
      <x:c r="A3" s="5" t="s">
        <x:v>130</x:v>
      </x:c>
      <x:c r="B3" s="5">
        <x:v>55</x:v>
      </x:c>
      <x:c r="C3" s="5" t="s">
        <x:v>129</x:v>
      </x:c>
    </x:row>
    <x:row r="4" ht="24" hidden="1" customHeight="1">
      <x:c r="A4" s="6" t="s">
        <x:v>131</x:v>
      </x:c>
      <x:c r="B4" s="6">
        <x:v>10</x:v>
      </x:c>
      <x:c r="C4" s="6" t="s">
        <x:v>132</x:v>
      </x:c>
    </x:row>
    <x:row r="5" ht="24" hidden="1" customHeight="1">
      <x:c r="A5" s="6" t="s">
        <x:v>133</x:v>
      </x:c>
      <x:c r="B5" s="6">
        <x:v>5</x:v>
      </x:c>
      <x:c r="C5" s="7" t="s">
        <x:v>132</x:v>
      </x:c>
    </x:row>
    <x:row r="6" ht="24" customHeight="1">
      <x:c r="A6" s="5" t="s">
        <x:v>134</x:v>
      </x:c>
      <x:c r="B6" s="5">
        <x:v>60</x:v>
      </x:c>
      <x:c r="C6" s="5" t="s">
        <x:v>135</x:v>
      </x:c>
    </x:row>
    <x:row r="7" ht="24" customHeight="1">
      <x:c r="A7" s="5" t="s">
        <x:v>136</x:v>
      </x:c>
      <x:c r="B7" s="5">
        <x:v>0.8</x:v>
      </x:c>
      <x:c r="C7" s="5" t="s">
        <x:v>137</x:v>
      </x:c>
    </x:row>
    <x:row r="8" ht="24" customHeight="1">
      <x:c r="A8" s="5" t="s">
        <x:v>45</x:v>
      </x:c>
      <x:c r="B8" s="5">
        <x:v>0.1</x:v>
      </x:c>
      <x:c r="C8" s="5" t="s">
        <x:v>137</x:v>
      </x:c>
    </x:row>
    <x:row r="9" ht="24" customHeight="1">
      <x:c r="A9" s="5" t="s">
        <x:v>46</x:v>
      </x:c>
      <x:c r="B9" s="5">
        <x:v>0.2</x:v>
      </x:c>
      <x:c r="C9" s="5" t="s">
        <x:v>137</x:v>
      </x:c>
    </x:row>
    <x:row r="10" ht="24" customHeight="1">
      <x:c r="A10" s="5" t="s">
        <x:v>138</x:v>
      </x:c>
      <x:c r="B10" s="5">
        <x:v>0.7</x:v>
      </x:c>
      <x:c r="C10" s="5" t="s">
        <x:v>1</x:v>
      </x:c>
    </x:row>
    <x:row r="11" ht="24" customHeight="1">
      <x:c r="A11" s="5" t="s">
        <x:v>139</x:v>
      </x:c>
      <x:c r="B11" s="5">
        <x:v>0.8</x:v>
      </x:c>
      <x:c r="C11" s="5" t="s">
        <x:v>1</x:v>
      </x:c>
    </x:row>
    <x:row r="12" ht="24" customHeight="1">
      <x:c r="A12" s="5" t="s">
        <x:v>140</x:v>
      </x:c>
      <x:c r="B12" s="5">
        <x:v>30</x:v>
      </x:c>
      <x:c r="C12" s="5" t="s">
        <x:v>135</x:v>
      </x:c>
    </x:row>
    <x:row r="13" ht="24" customHeight="1">
      <x:c r="A13" s="5" t="s">
        <x:v>141</x:v>
      </x:c>
      <x:c r="B13" s="5">
        <x:v>200</x:v>
      </x:c>
      <x:c r="C13" s="5" t="s">
        <x:v>1</x:v>
      </x:c>
    </x:row>
    <x:row r="14" ht="24" customHeight="1">
      <x:c r="A14" s="5" t="s">
        <x:v>142</x:v>
      </x:c>
      <x:c r="B14" s="5">
        <x:v>1.5</x:v>
      </x:c>
      <x:c r="C14" s="5" t="s">
        <x:v>1</x:v>
      </x:c>
    </x:row>
    <x:row r="15" ht="24" customHeight="1">
      <x:c r="A15" s="5" t="s">
        <x:v>143</x:v>
      </x:c>
      <x:c r="B15" s="5">
        <x:v>10000</x:v>
      </x:c>
      <x:c r="C15" s="5" t="s">
        <x:v>144</x:v>
      </x:c>
    </x:row>
    <x:row r="16" ht="24" customHeight="1">
      <x:c r="A16" s="5" t="s">
        <x:v>145</x:v>
      </x:c>
      <x:c r="B16" s="5">
        <x:v>20000</x:v>
      </x:c>
      <x:c r="C16" s="5" t="s">
        <x:v>146</x:v>
      </x:c>
    </x:row>
    <x:row r="17" ht="24" customHeight="1">
      <x:c r="A17" s="5" t="s">
        <x:v>147</x:v>
      </x:c>
      <x:c r="B17" s="5">
        <x:v>200</x:v>
      </x:c>
      <x:c r="C17" s="5" t="s">
        <x:v>148</x:v>
      </x:c>
    </x:row>
    <x:row r="18" ht="24" customHeight="1">
      <x:c r="A18" s="5" t="s">
        <x:v>149</x:v>
      </x:c>
      <x:c r="B18" s="5">
        <x:v>200</x:v>
      </x:c>
      <x:c r="C18" s="5" t="s">
        <x:v>148</x:v>
      </x:c>
    </x:row>
    <x:row r="19" ht="24" customHeight="1">
      <x:c r="A19" s="5" t="s">
        <x:v>150</x:v>
      </x:c>
      <x:c r="B19" s="5">
        <x:v>300</x:v>
      </x:c>
      <x:c r="C19" s="5" t="s">
        <x:v>148</x:v>
      </x:c>
    </x:row>
    <x:row r="20" ht="24" customHeight="1">
      <x:c r="A20" s="5" t="s">
        <x:v>151</x:v>
      </x:c>
      <x:c r="B20" s="5">
        <x:v>0.65</x:v>
      </x:c>
      <x:c r="C20" s="5" t="s">
        <x:v>152</x:v>
      </x:c>
    </x:row>
    <x:row r="23" ht="30" customHeight="1">
      <x:c r="A23" s="4" t="s">
        <x:v>153</x:v>
      </x:c>
      <x:c r="B23" s="4" t="s">
        <x:v>1</x:v>
      </x:c>
      <x:c r="C23" s="4" t="s">
        <x:v>1</x:v>
      </x:c>
      <x:c r="D23" s="4" t="s">
        <x:v>1</x:v>
      </x:c>
      <x:c r="E23" s="4" t="s">
        <x:v>1</x:v>
      </x:c>
      <x:c r="F23" s="4" t="s">
        <x:v>1</x:v>
      </x:c>
      <x:c r="G23" s="4" t="s">
        <x:v>1</x:v>
      </x:c>
      <x:c r="H23" s="4" t="s">
        <x:v>1</x:v>
      </x:c>
      <x:c r="I23" s="4" t="s">
        <x:v>1</x:v>
      </x:c>
      <x:c r="J23" s="4" t="s">
        <x:v>1</x:v>
      </x:c>
    </x:row>
    <x:row r="24" ht="30" customHeight="1">
      <x:c r="A24" s="8" t="s">
        <x:v>154</x:v>
      </x:c>
      <x:c r="B24" s="8" t="s">
        <x:v>1</x:v>
      </x:c>
      <x:c r="C24" s="8" t="s">
        <x:v>1</x:v>
      </x:c>
      <x:c r="D24" s="8" t="s">
        <x:v>1</x:v>
      </x:c>
      <x:c r="E24" s="8" t="s">
        <x:v>1</x:v>
      </x:c>
      <x:c r="F24" s="8" t="s">
        <x:v>1</x:v>
      </x:c>
      <x:c r="G24" s="8" t="s">
        <x:v>1</x:v>
      </x:c>
      <x:c r="H24" s="8" t="s">
        <x:v>1</x:v>
      </x:c>
      <x:c r="I24" s="8" t="s">
        <x:v>1</x:v>
      </x:c>
      <x:c r="J24" s="8" t="s">
        <x:v>1</x:v>
      </x:c>
    </x:row>
    <x:row r="25" ht="30" customHeight="1">
      <x:c r="A25" s="8" t="s">
        <x:v>155</x:v>
      </x:c>
      <x:c r="B25" s="8" t="s">
        <x:v>1</x:v>
      </x:c>
      <x:c r="C25" s="8" t="s">
        <x:v>1</x:v>
      </x:c>
      <x:c r="D25" s="8" t="s">
        <x:v>1</x:v>
      </x:c>
      <x:c r="E25" s="8" t="s">
        <x:v>1</x:v>
      </x:c>
      <x:c r="F25" s="8" t="s">
        <x:v>1</x:v>
      </x:c>
      <x:c r="G25" s="8" t="s">
        <x:v>1</x:v>
      </x:c>
      <x:c r="H25" s="8" t="s">
        <x:v>1</x:v>
      </x:c>
      <x:c r="I25" s="8" t="s">
        <x:v>1</x:v>
      </x:c>
      <x:c r="J25" s="8" t="s">
        <x:v>1</x:v>
      </x:c>
    </x:row>
    <x:row r="26" ht="30" customHeight="1">
      <x:c r="A26" s="8" t="s">
        <x:v>156</x:v>
      </x:c>
      <x:c r="B26" s="8" t="s">
        <x:v>1</x:v>
      </x:c>
      <x:c r="C26" s="8" t="s">
        <x:v>1</x:v>
      </x:c>
      <x:c r="D26" s="8" t="s">
        <x:v>1</x:v>
      </x:c>
      <x:c r="E26" s="8" t="s">
        <x:v>1</x:v>
      </x:c>
      <x:c r="F26" s="8" t="s">
        <x:v>1</x:v>
      </x:c>
      <x:c r="G26" s="8" t="s">
        <x:v>1</x:v>
      </x:c>
      <x:c r="H26" s="8" t="s">
        <x:v>1</x:v>
      </x:c>
      <x:c r="I26" s="8" t="s">
        <x:v>1</x:v>
      </x:c>
      <x:c r="J26" s="8" t="s">
        <x:v>1</x:v>
      </x:c>
    </x:row>
    <x:row r="27" ht="30" customHeight="1">
      <x:c r="A27" s="8" t="s">
        <x:v>157</x:v>
      </x:c>
      <x:c r="B27" s="8" t="s">
        <x:v>1</x:v>
      </x:c>
      <x:c r="C27" s="8" t="s">
        <x:v>1</x:v>
      </x:c>
      <x:c r="D27" s="8" t="s">
        <x:v>1</x:v>
      </x:c>
      <x:c r="E27" s="8" t="s">
        <x:v>1</x:v>
      </x:c>
      <x:c r="F27" s="8" t="s">
        <x:v>1</x:v>
      </x:c>
      <x:c r="G27" s="8" t="s">
        <x:v>1</x:v>
      </x:c>
      <x:c r="H27" s="8" t="s">
        <x:v>1</x:v>
      </x:c>
      <x:c r="I27" s="8" t="s">
        <x:v>1</x:v>
      </x:c>
      <x:c r="J27" s="8" t="s">
        <x:v>1</x:v>
      </x:c>
    </x:row>
    <x:row r="28" ht="30" customHeight="1">
      <x:c r="A28" s="8" t="s">
        <x:v>158</x:v>
      </x:c>
      <x:c r="B28" s="8" t="s">
        <x:v>1</x:v>
      </x:c>
      <x:c r="C28" s="8" t="s">
        <x:v>1</x:v>
      </x:c>
      <x:c r="D28" s="8" t="s">
        <x:v>1</x:v>
      </x:c>
      <x:c r="E28" s="8" t="s">
        <x:v>1</x:v>
      </x:c>
      <x:c r="F28" s="8" t="s">
        <x:v>1</x:v>
      </x:c>
      <x:c r="G28" s="8" t="s">
        <x:v>1</x:v>
      </x:c>
      <x:c r="H28" s="8" t="s">
        <x:v>1</x:v>
      </x:c>
      <x:c r="I28" s="8" t="s">
        <x:v>1</x:v>
      </x:c>
      <x:c r="J28" s="8" t="s">
        <x:v>1</x:v>
      </x:c>
    </x:row>
    <x:row r="29" ht="30" customHeight="1">
      <x:c r="A29" s="8" t="s">
        <x:v>159</x:v>
      </x:c>
      <x:c r="B29" s="8" t="s">
        <x:v>1</x:v>
      </x:c>
      <x:c r="C29" s="8" t="s">
        <x:v>1</x:v>
      </x:c>
      <x:c r="D29" s="8" t="s">
        <x:v>1</x:v>
      </x:c>
      <x:c r="E29" s="8" t="s">
        <x:v>1</x:v>
      </x:c>
      <x:c r="F29" s="8" t="s">
        <x:v>1</x:v>
      </x:c>
      <x:c r="G29" s="8" t="s">
        <x:v>1</x:v>
      </x:c>
      <x:c r="H29" s="8" t="s">
        <x:v>1</x:v>
      </x:c>
      <x:c r="I29" s="8" t="s">
        <x:v>1</x:v>
      </x:c>
      <x:c r="J29" s="8" t="s">
        <x:v>1</x:v>
      </x:c>
    </x:row>
    <x:row r="30" ht="30" customHeight="1">
      <x:c r="A30" s="8" t="s">
        <x:v>160</x:v>
      </x:c>
      <x:c r="B30" s="8" t="s">
        <x:v>1</x:v>
      </x:c>
      <x:c r="C30" s="8" t="s">
        <x:v>1</x:v>
      </x:c>
      <x:c r="D30" s="8" t="s">
        <x:v>1</x:v>
      </x:c>
      <x:c r="E30" s="8" t="s">
        <x:v>1</x:v>
      </x:c>
      <x:c r="F30" s="8" t="s">
        <x:v>1</x:v>
      </x:c>
      <x:c r="G30" s="8" t="s">
        <x:v>1</x:v>
      </x:c>
      <x:c r="H30" s="8" t="s">
        <x:v>1</x:v>
      </x:c>
      <x:c r="I30" s="8" t="s">
        <x:v>1</x:v>
      </x:c>
      <x:c r="J30" s="8" t="s">
        <x:v>1</x:v>
      </x:c>
    </x:row>
  </x:sheetData>
  <x:mergeCells>
    <x:mergeCell ref="A23:J23"/>
    <x:mergeCell ref="A24:J24"/>
    <x:mergeCell ref="A25:J25"/>
    <x:mergeCell ref="A26:J26"/>
    <x:mergeCell ref="A27:J27"/>
    <x:mergeCell ref="A28:J28"/>
    <x:mergeCell ref="A29:J29"/>
    <x:mergeCell ref="A30:J3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customWidth="1"/>
    <x:col min="2" max="2" width="12" customWidth="1"/>
    <x:col min="3" max="3" width="12" hidden="1" customWidth="1"/>
    <x:col min="4" max="5" width="12" customWidth="1"/>
    <x:col min="6" max="6" width="13.081999778747559" customWidth="1"/>
    <x:col min="7" max="7" width="12.41409969329834" customWidth="1"/>
    <x:col min="8" max="8" width="10" customWidth="1"/>
    <x:col min="9" max="9" width="12" customWidth="1"/>
    <x:col min="10" max="10" width="14" customWidth="1"/>
    <x:col min="11" max="11" width="16" customWidth="1"/>
    <x:col min="12" max="12" width="12" customWidth="1"/>
    <x:col min="13" max="13" width="10" customWidth="1"/>
    <x:col min="14" max="16" width="8" customWidth="1"/>
    <x:col min="17" max="17" width="12" customWidth="1"/>
    <x:col min="18" max="18" width="13" customWidth="1"/>
    <x:col min="19" max="19" width="15.71150016784668" customWidth="1"/>
    <x:col min="20" max="20" width="13" customWidth="1"/>
    <x:col min="21" max="21" width="13.761699676513672" customWidth="1"/>
    <x:col min="22" max="22" width="13" customWidth="1"/>
    <x:col min="23" max="23" width="14" customWidth="1"/>
    <x:col min="24" max="24" width="15.511699676513672" customWidth="1"/>
    <x:col min="25" max="25" width="38" customWidth="1"/>
  </x:cols>
  <x:sheetData>
    <x:row r="1" ht="36" customHeight="1">
      <x:c r="A1" s="9" t="str">
        <x:v>【内容事业部】抖音大号补充维护标准</x:v>
      </x:c>
    </x:row>
    <x:row r="2" ht="18" customHeight="1">
      <x:c r="A2" s="10" t="str">
        <x:v>补充口径：私单与平台单分别列示，原大号方案及小号内容不改。定制价取原大号页9月定制价，私单价取询单表。
点赞数量严格保留原大号标准：花无缺3万、最游话说2万、报告砖家3万、策划克星阿强1.5万、天机妹3万、木游话说2万、麦冬冬1.5万。
其余补充指标及现行维护单价沿用上版；费用和毛利随点赞数量同步重算。此区为补充明细，不替换上方原有抖加方案。</x:v>
      </x:c>
    </x:row>
    <x:row r="9" ht="54" customHeight="1">
      <x:c r="A9" s="11" t="str">
        <x:v>账号</x:v>
      </x:c>
      <x:c r="B9" s="12" t="str">
        <x:v>负责人</x:v>
      </x:c>
      <x:c r="C9" s="12" t="str">
        <x:v>备注</x:v>
      </x:c>
      <x:c r="D9" s="13" t="str">
        <x:v>定制
刊例价</x:v>
      </x:c>
      <x:c r="E9" s="13" t="str">
        <x:v>私单
报价</x:v>
      </x:c>
      <x:c r="F9" s="14" t="str">
        <x:v>涨价定制
刊例价</x:v>
      </x:c>
      <x:c r="G9" s="14" t="str">
        <x:v>涨价私单
报价</x:v>
      </x:c>
      <x:c r="H9" s="11" t="str">
        <x:v>订单
类型</x:v>
      </x:c>
      <x:c r="I9" s="15" t="str">
        <x:v>成交价</x:v>
      </x:c>
      <x:c r="J9" s="16" t="str">
        <x:v>目标播放量
（次）</x:v>
      </x:c>
      <x:c r="K9" s="11" t="str">
        <x:v>千川版本</x:v>
      </x:c>
      <x:c r="L9" s="17" t="str">
        <x:v>千川
费用</x:v>
      </x:c>
      <x:c r="M9" s="17" t="str">
        <x:v>点赞</x:v>
      </x:c>
      <x:c r="N9" s="11" t="str">
        <x:v>评论</x:v>
      </x:c>
      <x:c r="O9" s="11" t="str">
        <x:v>收藏</x:v>
      </x:c>
      <x:c r="P9" s="11" t="str">
        <x:v>转发</x:v>
      </x:c>
      <x:c r="Q9" s="11" t="str">
        <x:v>互动
费用</x:v>
      </x:c>
      <x:c r="R9" s="11" t="str">
        <x:v>总维护
成本</x:v>
      </x:c>
      <x:c r="S9" s="11" t="str">
        <x:v>维护费
占成交价</x:v>
      </x:c>
      <x:c r="T9" s="17" t="str">
        <x:v>集团
毛利</x:v>
      </x:c>
      <x:c r="U9" s="17" t="str">
        <x:v>集团毛利率
（占折前报价）</x:v>
      </x:c>
      <x:c r="V9" s="17" t="str">
        <x:v>部门
毛利</x:v>
      </x:c>
      <x:c r="W9" s="17" t="str">
        <x:v>部门毛利率
（占折前报价）</x:v>
      </x:c>
      <x:c r="X9" s="12" t="str">
        <x:v>备注</x:v>
      </x:c>
      <x:c r="Y9" s="11" t="str">
        <x:v>主页链接</x:v>
      </x:c>
    </x:row>
    <x:row r="10" ht="24" customHeight="1">
      <x:c r="A10" s="7" t="str">
        <x:v>花无缺</x:v>
      </x:c>
      <x:c r="B10" s="18" t="str">
        <x:v>刘登魁</x:v>
      </x:c>
      <x:c r="C10" s="18"/>
      <x:c r="D10" s="19" t="n">
        <x:f>'抖音大号维护标准'!H4</x:f>
        <x:v>16600</x:v>
      </x:c>
      <x:c r="E10" s="19" t="n">
        <x:v>9960</x:v>
      </x:c>
      <x:c r="F10" s="20" t="str">
        <x:v>/</x:v>
      </x:c>
      <x:c r="G10" s="20" t="str">
        <x:v>/</x:v>
      </x:c>
      <x:c r="H10" s="6" t="str">
        <x:v>私单</x:v>
      </x:c>
      <x:c r="I10" s="13" t="n">
        <x:f>E10</x:f>
        <x:v>9960</x:v>
      </x:c>
      <x:c r="J10" s="21" t="n">
        <x:f>ROUNDUP('抖音大号维护标准'!J4,0)</x:f>
        <x:v>442667</x:v>
      </x:c>
      <x:c r="K10" s="6" t="str">
        <x:v>普通千川</x:v>
      </x:c>
      <x:c r="L10" s="22" t="n">
        <x:f>MAX('维护参数'!$B$4,ROUNDUP(J10/10000,0))*'维护参数'!$B$2</x:f>
        <x:v>945</x:v>
      </x:c>
      <x:c r="M10" s="23" t="n">
        <x:v>30000</x:v>
      </x:c>
      <x:c r="N10" s="23" t="n">
        <x:f>MAX(200,ROUNDUP(D10*'维护参数'!$B$17/'维护参数'!$B$15/10,0)*10)</x:f>
        <x:v>340</x:v>
      </x:c>
      <x:c r="O10" s="23" t="n">
        <x:f>MAX(200,ROUNDUP(D10*'维护参数'!$B$18/'维护参数'!$B$15/10,0)*10)</x:f>
        <x:v>340</x:v>
      </x:c>
      <x:c r="P10" s="23" t="n">
        <x:f>MAX(300,ROUNDUP(D10*'维护参数'!$B$19/'维护参数'!$B$15/10,0)*10)</x:f>
        <x:v>500</x:v>
      </x:c>
      <x:c r="Q10" s="24" t="n">
        <x:f>M10/1000*'维护参数'!$B$6+N10*'维护参数'!$B$7+O10*'维护参数'!$B$8+P10*'维护参数'!$B$9</x:f>
        <x:v>2206</x:v>
      </x:c>
      <x:c r="R10" s="22" t="n">
        <x:f>L10+Q10</x:f>
        <x:v>3151</x:v>
      </x:c>
      <x:c r="S10" s="25" t="n">
        <x:f>R10/I10</x:f>
        <x:v>0.31636546184738956</x:v>
      </x:c>
      <x:c r="T10" s="22" t="n">
        <x:f>I10-R10</x:f>
        <x:v>6809</x:v>
      </x:c>
      <x:c r="U10" s="25" t="n">
        <x:f>T10/D10</x:f>
        <x:v>0.41018072289156626</x:v>
      </x:c>
      <x:c r="V10" s="22" t="n">
        <x:f>T10*'维护参数'!$B$20</x:f>
        <x:v>4425.85</x:v>
      </x:c>
      <x:c r="W10" s="25" t="n">
        <x:f>V10/D10</x:f>
        <x:v>0.2666174698795181</x:v>
      </x:c>
      <x:c r="X10" s="26" t="str">
        <x:v>补充建议</x:v>
      </x:c>
      <x:c r="Y10" s="27" t="str">
        <x:v>https://v.douyin.com/C5JU9cqYOws/</x:v>
      </x:c>
    </x:row>
    <x:row r="11" ht="24" customHeight="1">
      <x:c r="H11" s="6" t="str">
        <x:v>平台单</x:v>
      </x:c>
      <x:c r="I11" s="13" t="n">
        <x:f>D10*'维护参数'!$B$10</x:f>
        <x:v>11620</x:v>
      </x:c>
      <x:c r="K11" s="6" t="str">
        <x:v>千川无视版</x:v>
      </x:c>
      <x:c r="L11" s="22" t="n">
        <x:f>MAX('维护参数'!$B$5,ROUNDUP(J10/10000,0))*'维护参数'!$B$3</x:f>
        <x:v>2475</x:v>
      </x:c>
      <x:c r="R11" s="22" t="n">
        <x:f>L11+Q10</x:f>
        <x:v>4681</x:v>
      </x:c>
      <x:c r="S11" s="25" t="n">
        <x:f>R11/I11</x:f>
        <x:v>0.40283993115318417</x:v>
      </x:c>
      <x:c r="T11" s="22" t="n">
        <x:f>I11-R11</x:f>
        <x:v>6939</x:v>
      </x:c>
      <x:c r="U11" s="25" t="n">
        <x:f>T11/D10</x:f>
        <x:v>0.4180120481927711</x:v>
      </x:c>
      <x:c r="V11" s="22" t="n">
        <x:f>T11*'维护参数'!$B$20</x:f>
        <x:v>4510.35</x:v>
      </x:c>
      <x:c r="W11" s="32" t="n">
        <x:f>V11/D10</x:f>
        <x:v>0.27170783132530124</x:v>
      </x:c>
    </x:row>
    <x:row r="12" ht="24" customHeight="1">
      <x:c r="A12" s="7" t="str">
        <x:v>最游话说</x:v>
      </x:c>
      <x:c r="B12" s="18" t="str">
        <x:v>薛荐轩</x:v>
      </x:c>
      <x:c r="C12" s="18"/>
      <x:c r="D12" s="19" t="n">
        <x:f>'抖音大号维护标准'!H5</x:f>
        <x:v>18000</x:v>
      </x:c>
      <x:c r="E12" s="19" t="n">
        <x:v>10800</x:v>
      </x:c>
      <x:c r="F12" s="20" t="str">
        <x:v>/</x:v>
      </x:c>
      <x:c r="G12" s="20" t="str">
        <x:v>/</x:v>
      </x:c>
      <x:c r="H12" s="6" t="str">
        <x:v>私单</x:v>
      </x:c>
      <x:c r="I12" s="13" t="n">
        <x:f>E12</x:f>
        <x:v>10800</x:v>
      </x:c>
      <x:c r="J12" s="21" t="n">
        <x:f>ROUNDUP('抖音大号维护标准'!J5,0)</x:f>
        <x:v>480000</x:v>
      </x:c>
      <x:c r="K12" s="6" t="str">
        <x:v>普通千川</x:v>
      </x:c>
      <x:c r="L12" s="22" t="n">
        <x:f>MAX('维护参数'!$B$4,ROUNDUP(J12/10000,0))*'维护参数'!$B$2</x:f>
        <x:v>1008</x:v>
      </x:c>
      <x:c r="M12" s="23" t="n">
        <x:v>20000</x:v>
      </x:c>
      <x:c r="N12" s="23" t="n">
        <x:f>MAX(200,ROUNDUP(D12*'维护参数'!$B$17/'维护参数'!$B$15/10,0)*10)</x:f>
        <x:v>360</x:v>
      </x:c>
      <x:c r="O12" s="23" t="n">
        <x:f>MAX(200,ROUNDUP(D12*'维护参数'!$B$18/'维护参数'!$B$15/10,0)*10)</x:f>
        <x:v>360</x:v>
      </x:c>
      <x:c r="P12" s="23" t="n">
        <x:f>MAX(300,ROUNDUP(D12*'维护参数'!$B$19/'维护参数'!$B$15/10,0)*10)</x:f>
        <x:v>540</x:v>
      </x:c>
      <x:c r="Q12" s="24" t="n">
        <x:f>M12/1000*'维护参数'!$B$6+N12*'维护参数'!$B$7+O12*'维护参数'!$B$8+P12*'维护参数'!$B$9</x:f>
        <x:v>1632</x:v>
      </x:c>
      <x:c r="R12" s="22" t="n">
        <x:f>L12+Q12</x:f>
        <x:v>2640</x:v>
      </x:c>
      <x:c r="S12" s="25" t="n">
        <x:f>R12/I12</x:f>
        <x:v>0.24444444444444444</x:v>
      </x:c>
      <x:c r="T12" s="22" t="n">
        <x:f>I12-R12</x:f>
        <x:v>8160</x:v>
      </x:c>
      <x:c r="U12" s="25" t="n">
        <x:f>T12/D12</x:f>
        <x:v>0.4533333333333333</x:v>
      </x:c>
      <x:c r="V12" s="22" t="n">
        <x:f>T12*'维护参数'!$B$20</x:f>
        <x:v>5304</x:v>
      </x:c>
      <x:c r="W12" s="25" t="n">
        <x:f>V12/D12</x:f>
        <x:v>0.2946666666666667</x:v>
      </x:c>
      <x:c r="X12" s="26" t="str">
        <x:v>补充建议</x:v>
      </x:c>
      <x:c r="Y12" s="27" t="str">
        <x:v>https://v.douyin.com/HijEyTLwoTI/</x:v>
      </x:c>
    </x:row>
    <x:row r="13" ht="24" customHeight="1">
      <x:c r="H13" s="6" t="str">
        <x:v>平台单</x:v>
      </x:c>
      <x:c r="I13" s="13" t="n">
        <x:f>D12*'维护参数'!$B$10</x:f>
        <x:v>12600</x:v>
      </x:c>
      <x:c r="K13" s="6" t="str">
        <x:v>千川无视版</x:v>
      </x:c>
      <x:c r="L13" s="22" t="n">
        <x:f>MAX('维护参数'!$B$5,ROUNDUP(J12/10000,0))*'维护参数'!$B$3</x:f>
        <x:v>2640</x:v>
      </x:c>
      <x:c r="R13" s="22" t="n">
        <x:f>L13+Q12</x:f>
        <x:v>4272</x:v>
      </x:c>
      <x:c r="S13" s="25" t="n">
        <x:f>R13/I13</x:f>
        <x:v>0.33904761904761904</x:v>
      </x:c>
      <x:c r="T13" s="22" t="n">
        <x:f>I13-R13</x:f>
        <x:v>8328</x:v>
      </x:c>
      <x:c r="U13" s="25" t="n">
        <x:f>T13/D12</x:f>
        <x:v>0.46266666666666667</x:v>
      </x:c>
      <x:c r="V13" s="22" t="n">
        <x:f>T13*'维护参数'!$B$20</x:f>
        <x:v>5413.2</x:v>
      </x:c>
      <x:c r="W13" s="32" t="n">
        <x:f>V13/D12</x:f>
        <x:v>0.3007333333333333</x:v>
      </x:c>
    </x:row>
    <x:row r="14" ht="24" customHeight="1">
      <x:c r="A14" s="7" t="str">
        <x:v>报告砖家</x:v>
      </x:c>
      <x:c r="B14" s="18" t="str">
        <x:v>傅思敏</x:v>
      </x:c>
      <x:c r="C14" s="18"/>
      <x:c r="D14" s="19" t="n">
        <x:f>'抖音大号维护标准'!H6</x:f>
        <x:v>20000</x:v>
      </x:c>
      <x:c r="E14" s="19" t="n">
        <x:v>12000</x:v>
      </x:c>
      <x:c r="F14" s="20" t="str">
        <x:v>/</x:v>
      </x:c>
      <x:c r="G14" s="20" t="str">
        <x:v>/</x:v>
      </x:c>
      <x:c r="H14" s="6" t="str">
        <x:v>私单</x:v>
      </x:c>
      <x:c r="I14" s="13" t="n">
        <x:f>E14</x:f>
        <x:v>12000</x:v>
      </x:c>
      <x:c r="J14" s="21" t="n">
        <x:f>ROUNDUP('抖音大号维护标准'!J6,0)</x:f>
        <x:v>533334</x:v>
      </x:c>
      <x:c r="K14" s="6" t="str">
        <x:v>普通千川</x:v>
      </x:c>
      <x:c r="L14" s="22" t="n">
        <x:f>MAX('维护参数'!$B$4,ROUNDUP(J14/10000,0))*'维护参数'!$B$2</x:f>
        <x:v>1134</x:v>
      </x:c>
      <x:c r="M14" s="23" t="n">
        <x:v>30000</x:v>
      </x:c>
      <x:c r="N14" s="23" t="n">
        <x:f>MAX(200,ROUNDUP(D14*'维护参数'!$B$17/'维护参数'!$B$15/10,0)*10)</x:f>
        <x:v>400</x:v>
      </x:c>
      <x:c r="O14" s="23" t="n">
        <x:f>MAX(200,ROUNDUP(D14*'维护参数'!$B$18/'维护参数'!$B$15/10,0)*10)</x:f>
        <x:v>400</x:v>
      </x:c>
      <x:c r="P14" s="23" t="n">
        <x:f>MAX(300,ROUNDUP(D14*'维护参数'!$B$19/'维护参数'!$B$15/10,0)*10)</x:f>
        <x:v>600</x:v>
      </x:c>
      <x:c r="Q14" s="24" t="n">
        <x:f>M14/1000*'维护参数'!$B$6+N14*'维护参数'!$B$7+O14*'维护参数'!$B$8+P14*'维护参数'!$B$9</x:f>
        <x:v>2280</x:v>
      </x:c>
      <x:c r="R14" s="22" t="n">
        <x:f>L14+Q14</x:f>
        <x:v>3414</x:v>
      </x:c>
      <x:c r="S14" s="25" t="n">
        <x:f>R14/I14</x:f>
        <x:v>0.2845</x:v>
      </x:c>
      <x:c r="T14" s="22" t="n">
        <x:f>I14-R14</x:f>
        <x:v>8586</x:v>
      </x:c>
      <x:c r="U14" s="25" t="n">
        <x:f>T14/D14</x:f>
        <x:v>0.4293</x:v>
      </x:c>
      <x:c r="V14" s="22" t="n">
        <x:f>T14*'维护参数'!$B$20</x:f>
        <x:v>5580.900000000001</x:v>
      </x:c>
      <x:c r="W14" s="25" t="n">
        <x:f>V14/D14</x:f>
        <x:v>0.27904500000000004</x:v>
      </x:c>
      <x:c r="X14" s="26" t="str">
        <x:v>补充建议</x:v>
      </x:c>
      <x:c r="Y14" s="27" t="str">
        <x:v>https://www.douyin.com/user/MS4wLjABAAAAHG9cg-IDIYJ1sjp3HR9euh2VTxgzVzy1H_s4S3UkPZQ</x:v>
      </x:c>
    </x:row>
    <x:row r="15" ht="24" customHeight="1">
      <x:c r="H15" s="6" t="str">
        <x:v>平台单</x:v>
      </x:c>
      <x:c r="I15" s="13" t="n">
        <x:f>D14*'维护参数'!$B$10</x:f>
        <x:v>14000</x:v>
      </x:c>
      <x:c r="K15" s="6" t="str">
        <x:v>千川无视版</x:v>
      </x:c>
      <x:c r="L15" s="22" t="n">
        <x:f>MAX('维护参数'!$B$5,ROUNDUP(J14/10000,0))*'维护参数'!$B$3</x:f>
        <x:v>2970</x:v>
      </x:c>
      <x:c r="R15" s="22" t="n">
        <x:f>L15+Q14</x:f>
        <x:v>5250</x:v>
      </x:c>
      <x:c r="S15" s="25" t="n">
        <x:f>R15/I15</x:f>
        <x:v>0.375</x:v>
      </x:c>
      <x:c r="T15" s="22" t="n">
        <x:f>I15-R15</x:f>
        <x:v>8750</x:v>
      </x:c>
      <x:c r="U15" s="25" t="n">
        <x:f>T15/D14</x:f>
        <x:v>0.4375</x:v>
      </x:c>
      <x:c r="V15" s="22" t="n">
        <x:f>T15*'维护参数'!$B$20</x:f>
        <x:v>5687.5</x:v>
      </x:c>
      <x:c r="W15" s="32" t="n">
        <x:f>V15/D14</x:f>
        <x:v>0.284375</x:v>
      </x:c>
    </x:row>
    <x:row r="16" ht="24" customHeight="1">
      <x:c r="A16" s="7" t="str">
        <x:v>策划克星阿强</x:v>
      </x:c>
      <x:c r="B16" s="18" t="str">
        <x:v>曹媛</x:v>
      </x:c>
      <x:c r="C16" s="18"/>
      <x:c r="D16" s="19" t="n">
        <x:f>'抖音大号维护标准'!H7</x:f>
        <x:v>12000</x:v>
      </x:c>
      <x:c r="E16" s="19" t="n">
        <x:v>7200</x:v>
      </x:c>
      <x:c r="F16" s="20" t="str">
        <x:v>/</x:v>
      </x:c>
      <x:c r="G16" s="20" t="str">
        <x:v>/</x:v>
      </x:c>
      <x:c r="H16" s="6" t="str">
        <x:v>私单</x:v>
      </x:c>
      <x:c r="I16" s="13" t="n">
        <x:f>E16</x:f>
        <x:v>7200</x:v>
      </x:c>
      <x:c r="J16" s="21" t="n">
        <x:f>ROUNDUP('抖音大号维护标准'!J7,0)</x:f>
        <x:v>320000</x:v>
      </x:c>
      <x:c r="K16" s="6" t="str">
        <x:v>普通千川</x:v>
      </x:c>
      <x:c r="L16" s="22" t="n">
        <x:f>MAX('维护参数'!$B$4,ROUNDUP(J16/10000,0))*'维护参数'!$B$2</x:f>
        <x:v>672</x:v>
      </x:c>
      <x:c r="M16" s="23" t="n">
        <x:v>15000</x:v>
      </x:c>
      <x:c r="N16" s="23" t="n">
        <x:f>MAX(200,ROUNDUP(D16*'维护参数'!$B$17/'维护参数'!$B$15/10,0)*10)</x:f>
        <x:v>240</x:v>
      </x:c>
      <x:c r="O16" s="23" t="n">
        <x:f>MAX(200,ROUNDUP(D16*'维护参数'!$B$18/'维护参数'!$B$15/10,0)*10)</x:f>
        <x:v>240</x:v>
      </x:c>
      <x:c r="P16" s="23" t="n">
        <x:f>MAX(300,ROUNDUP(D16*'维护参数'!$B$19/'维护参数'!$B$15/10,0)*10)</x:f>
        <x:v>360</x:v>
      </x:c>
      <x:c r="Q16" s="24" t="n">
        <x:f>M16/1000*'维护参数'!$B$6+N16*'维护参数'!$B$7+O16*'维护参数'!$B$8+P16*'维护参数'!$B$9</x:f>
        <x:v>1188</x:v>
      </x:c>
      <x:c r="R16" s="22" t="n">
        <x:f>L16+Q16</x:f>
        <x:v>1860</x:v>
      </x:c>
      <x:c r="S16" s="25" t="n">
        <x:f>R16/I16</x:f>
        <x:v>0.25833333333333336</x:v>
      </x:c>
      <x:c r="T16" s="22" t="n">
        <x:f>I16-R16</x:f>
        <x:v>5340</x:v>
      </x:c>
      <x:c r="U16" s="25" t="n">
        <x:f>T16/D16</x:f>
        <x:v>0.445</x:v>
      </x:c>
      <x:c r="V16" s="22" t="n">
        <x:f>T16*'维护参数'!$B$20</x:f>
        <x:v>3471</x:v>
      </x:c>
      <x:c r="W16" s="25" t="n">
        <x:f>V16/D16</x:f>
        <x:v>0.28925</x:v>
      </x:c>
      <x:c r="X16" s="26" t="str">
        <x:v>补充建议</x:v>
      </x:c>
      <x:c r="Y16" s="27" t="str">
        <x:v>https://v.douyin.com/iMNwFGjT/</x:v>
      </x:c>
    </x:row>
    <x:row r="17" ht="24" customHeight="1">
      <x:c r="H17" s="6" t="str">
        <x:v>平台单</x:v>
      </x:c>
      <x:c r="I17" s="13" t="n">
        <x:f>D16*'维护参数'!$B$10</x:f>
        <x:v>8400</x:v>
      </x:c>
      <x:c r="K17" s="6" t="str">
        <x:v>千川无视版</x:v>
      </x:c>
      <x:c r="L17" s="22" t="n">
        <x:f>MAX('维护参数'!$B$5,ROUNDUP(J16/10000,0))*'维护参数'!$B$3</x:f>
        <x:v>1760</x:v>
      </x:c>
      <x:c r="R17" s="22" t="n">
        <x:f>L17+Q16</x:f>
        <x:v>2948</x:v>
      </x:c>
      <x:c r="S17" s="25" t="n">
        <x:f>R17/I17</x:f>
        <x:v>0.35095238095238096</x:v>
      </x:c>
      <x:c r="T17" s="22" t="n">
        <x:f>I17-R17</x:f>
        <x:v>5452</x:v>
      </x:c>
      <x:c r="U17" s="25" t="n">
        <x:f>T17/D16</x:f>
        <x:v>0.4543333333333333</x:v>
      </x:c>
      <x:c r="V17" s="22" t="n">
        <x:f>T17*'维护参数'!$B$20</x:f>
        <x:v>3543.8</x:v>
      </x:c>
      <x:c r="W17" s="32" t="n">
        <x:f>V17/D16</x:f>
        <x:v>0.29531666666666667</x:v>
      </x:c>
    </x:row>
    <x:row r="18" ht="24" customHeight="1">
      <x:c r="A18" s="7" t="str">
        <x:v>天机妹</x:v>
      </x:c>
      <x:c r="B18" s="18" t="str">
        <x:v>陈健伊</x:v>
      </x:c>
      <x:c r="C18" s="18"/>
      <x:c r="D18" s="19" t="n">
        <x:f>'抖音大号维护标准'!H8</x:f>
        <x:v>20000</x:v>
      </x:c>
      <x:c r="E18" s="19" t="n">
        <x:v>12000</x:v>
      </x:c>
      <x:c r="F18" s="20" t="str">
        <x:v>/</x:v>
      </x:c>
      <x:c r="G18" s="20" t="str">
        <x:v>/</x:v>
      </x:c>
      <x:c r="H18" s="6" t="str">
        <x:v>私单</x:v>
      </x:c>
      <x:c r="I18" s="13" t="n">
        <x:f>E18</x:f>
        <x:v>12000</x:v>
      </x:c>
      <x:c r="J18" s="21" t="n">
        <x:f>ROUNDUP('抖音大号维护标准'!J8,0)</x:f>
        <x:v>533334</x:v>
      </x:c>
      <x:c r="K18" s="6" t="str">
        <x:v>普通千川</x:v>
      </x:c>
      <x:c r="L18" s="22" t="n">
        <x:f>MAX('维护参数'!$B$4,ROUNDUP(J18/10000,0))*'维护参数'!$B$2</x:f>
        <x:v>1134</x:v>
      </x:c>
      <x:c r="M18" s="23" t="n">
        <x:v>30000</x:v>
      </x:c>
      <x:c r="N18" s="23" t="n">
        <x:f>MAX(200,ROUNDUP(D18*'维护参数'!$B$17/'维护参数'!$B$15/10,0)*10)</x:f>
        <x:v>400</x:v>
      </x:c>
      <x:c r="O18" s="23" t="n">
        <x:f>MAX(200,ROUNDUP(D18*'维护参数'!$B$18/'维护参数'!$B$15/10,0)*10)</x:f>
        <x:v>400</x:v>
      </x:c>
      <x:c r="P18" s="23" t="n">
        <x:f>MAX(300,ROUNDUP(D18*'维护参数'!$B$19/'维护参数'!$B$15/10,0)*10)</x:f>
        <x:v>600</x:v>
      </x:c>
      <x:c r="Q18" s="24" t="n">
        <x:f>M18/1000*'维护参数'!$B$6+N18*'维护参数'!$B$7+O18*'维护参数'!$B$8+P18*'维护参数'!$B$9</x:f>
        <x:v>2280</x:v>
      </x:c>
      <x:c r="R18" s="22" t="n">
        <x:f>L18+Q18</x:f>
        <x:v>3414</x:v>
      </x:c>
      <x:c r="S18" s="25" t="n">
        <x:f>R18/I18</x:f>
        <x:v>0.2845</x:v>
      </x:c>
      <x:c r="T18" s="22" t="n">
        <x:f>I18-R18</x:f>
        <x:v>8586</x:v>
      </x:c>
      <x:c r="U18" s="25" t="n">
        <x:f>T18/D18</x:f>
        <x:v>0.4293</x:v>
      </x:c>
      <x:c r="V18" s="22" t="n">
        <x:f>T18*'维护参数'!$B$20</x:f>
        <x:v>5580.900000000001</x:v>
      </x:c>
      <x:c r="W18" s="25" t="n">
        <x:f>V18/D18</x:f>
        <x:v>0.27904500000000004</x:v>
      </x:c>
      <x:c r="X18" s="26" t="str">
        <x:v>补充建议</x:v>
      </x:c>
      <x:c r="Y18" s="27" t="str">
        <x:v>https://v.douyin.com/iDDL4Xvs/</x:v>
      </x:c>
    </x:row>
    <x:row r="19" ht="24" customHeight="1">
      <x:c r="H19" s="6" t="str">
        <x:v>平台单</x:v>
      </x:c>
      <x:c r="I19" s="13" t="n">
        <x:f>D18*'维护参数'!$B$10</x:f>
        <x:v>14000</x:v>
      </x:c>
      <x:c r="K19" s="6" t="str">
        <x:v>千川无视版</x:v>
      </x:c>
      <x:c r="L19" s="22" t="n">
        <x:f>MAX('维护参数'!$B$5,ROUNDUP(J18/10000,0))*'维护参数'!$B$3</x:f>
        <x:v>2970</x:v>
      </x:c>
      <x:c r="R19" s="22" t="n">
        <x:f>L19+Q18</x:f>
        <x:v>5250</x:v>
      </x:c>
      <x:c r="S19" s="25" t="n">
        <x:f>R19/I19</x:f>
        <x:v>0.375</x:v>
      </x:c>
      <x:c r="T19" s="22" t="n">
        <x:f>I19-R19</x:f>
        <x:v>8750</x:v>
      </x:c>
      <x:c r="U19" s="25" t="n">
        <x:f>T19/D18</x:f>
        <x:v>0.4375</x:v>
      </x:c>
      <x:c r="V19" s="22" t="n">
        <x:f>T19*'维护参数'!$B$20</x:f>
        <x:v>5687.5</x:v>
      </x:c>
      <x:c r="W19" s="32" t="n">
        <x:f>V19/D18</x:f>
        <x:v>0.284375</x:v>
      </x:c>
    </x:row>
    <x:row r="20" ht="24" customHeight="1">
      <x:c r="A20" s="7" t="str">
        <x:v>木游话说</x:v>
      </x:c>
      <x:c r="B20" s="18" t="str">
        <x:v>杨鸿霆</x:v>
      </x:c>
      <x:c r="C20" s="18"/>
      <x:c r="D20" s="19" t="n">
        <x:f>'抖音大号维护标准'!H9</x:f>
        <x:v>15000</x:v>
      </x:c>
      <x:c r="E20" s="19" t="n">
        <x:v>9000</x:v>
      </x:c>
      <x:c r="F20" s="20" t="str">
        <x:v>/</x:v>
      </x:c>
      <x:c r="G20" s="20" t="str">
        <x:v>/</x:v>
      </x:c>
      <x:c r="H20" s="6" t="str">
        <x:v>私单</x:v>
      </x:c>
      <x:c r="I20" s="13" t="n">
        <x:f>E20</x:f>
        <x:v>9000</x:v>
      </x:c>
      <x:c r="J20" s="21" t="n">
        <x:f>ROUNDUP('抖音大号维护标准'!J9,0)</x:f>
        <x:v>400000</x:v>
      </x:c>
      <x:c r="K20" s="6" t="str">
        <x:v>普通千川</x:v>
      </x:c>
      <x:c r="L20" s="22" t="n">
        <x:f>MAX('维护参数'!$B$4,ROUNDUP(J20/10000,0))*'维护参数'!$B$2</x:f>
        <x:v>840</x:v>
      </x:c>
      <x:c r="M20" s="23" t="n">
        <x:v>20000</x:v>
      </x:c>
      <x:c r="N20" s="23" t="n">
        <x:f>MAX(200,ROUNDUP(D20*'维护参数'!$B$17/'维护参数'!$B$15/10,0)*10)</x:f>
        <x:v>300</x:v>
      </x:c>
      <x:c r="O20" s="23" t="n">
        <x:f>MAX(200,ROUNDUP(D20*'维护参数'!$B$18/'维护参数'!$B$15/10,0)*10)</x:f>
        <x:v>300</x:v>
      </x:c>
      <x:c r="P20" s="23" t="n">
        <x:f>MAX(300,ROUNDUP(D20*'维护参数'!$B$19/'维护参数'!$B$15/10,0)*10)</x:f>
        <x:v>450</x:v>
      </x:c>
      <x:c r="Q20" s="24" t="n">
        <x:f>M20/1000*'维护参数'!$B$6+N20*'维护参数'!$B$7+O20*'维护参数'!$B$8+P20*'维护参数'!$B$9</x:f>
        <x:v>1560</x:v>
      </x:c>
      <x:c r="R20" s="22" t="n">
        <x:f>L20+Q20</x:f>
        <x:v>2400</x:v>
      </x:c>
      <x:c r="S20" s="25" t="n">
        <x:f>R20/I20</x:f>
        <x:v>0.26666666666666666</x:v>
      </x:c>
      <x:c r="T20" s="22" t="n">
        <x:f>I20-R20</x:f>
        <x:v>6600</x:v>
      </x:c>
      <x:c r="U20" s="25" t="n">
        <x:f>T20/D20</x:f>
        <x:v>0.44</x:v>
      </x:c>
      <x:c r="V20" s="22" t="n">
        <x:f>T20*'维护参数'!$B$20</x:f>
        <x:v>4290</x:v>
      </x:c>
      <x:c r="W20" s="25" t="n">
        <x:f>V20/D20</x:f>
        <x:v>0.286</x:v>
      </x:c>
      <x:c r="X20" s="26" t="str">
        <x:v>补充建议</x:v>
      </x:c>
      <x:c r="Y20" s="27" t="str">
        <x:v>https://v.douyin.com/iNUg9M29/</x:v>
      </x:c>
    </x:row>
    <x:row r="21" ht="24" customHeight="1">
      <x:c r="H21" s="6" t="str">
        <x:v>平台单</x:v>
      </x:c>
      <x:c r="I21" s="13" t="n">
        <x:f>D20*'维护参数'!$B$10</x:f>
        <x:v>10500</x:v>
      </x:c>
      <x:c r="K21" s="6" t="str">
        <x:v>千川无视版</x:v>
      </x:c>
      <x:c r="L21" s="22" t="n">
        <x:f>MAX('维护参数'!$B$5,ROUNDUP(J20/10000,0))*'维护参数'!$B$3</x:f>
        <x:v>2200</x:v>
      </x:c>
      <x:c r="R21" s="22" t="n">
        <x:f>L21+Q20</x:f>
        <x:v>3760</x:v>
      </x:c>
      <x:c r="S21" s="25" t="n">
        <x:f>R21/I21</x:f>
        <x:v>0.3580952380952381</x:v>
      </x:c>
      <x:c r="T21" s="22" t="n">
        <x:f>I21-R21</x:f>
        <x:v>6740</x:v>
      </x:c>
      <x:c r="U21" s="25" t="n">
        <x:f>T21/D20</x:f>
        <x:v>0.4493333333333333</x:v>
      </x:c>
      <x:c r="V21" s="22" t="n">
        <x:f>T21*'维护参数'!$B$20</x:f>
        <x:v>4381</x:v>
      </x:c>
      <x:c r="W21" s="32" t="n">
        <x:f>V21/D20</x:f>
        <x:v>0.29206666666666664</x:v>
      </x:c>
    </x:row>
    <x:row r="22" ht="24" customHeight="1">
      <x:c r="A22" s="7" t="str">
        <x:v>麦冬冬</x:v>
      </x:c>
      <x:c r="B22" s="18" t="str">
        <x:v>商光涵</x:v>
      </x:c>
      <x:c r="C22" s="18"/>
      <x:c r="D22" s="19" t="n">
        <x:f>'抖音大号维护标准'!H10</x:f>
        <x:v>10000</x:v>
      </x:c>
      <x:c r="E22" s="19" t="n">
        <x:v>6000</x:v>
      </x:c>
      <x:c r="F22" s="20" t="str">
        <x:v>/</x:v>
      </x:c>
      <x:c r="G22" s="20" t="str">
        <x:v>/</x:v>
      </x:c>
      <x:c r="H22" s="6" t="str">
        <x:v>私单</x:v>
      </x:c>
      <x:c r="I22" s="13" t="n">
        <x:f>E22</x:f>
        <x:v>6000</x:v>
      </x:c>
      <x:c r="J22" s="21" t="n">
        <x:f>ROUNDUP('抖音大号维护标准'!J10,0)</x:f>
        <x:v>266667</x:v>
      </x:c>
      <x:c r="K22" s="6" t="str">
        <x:v>普通千川</x:v>
      </x:c>
      <x:c r="L22" s="22" t="n">
        <x:f>MAX('维护参数'!$B$4,ROUNDUP(J22/10000,0))*'维护参数'!$B$2</x:f>
        <x:v>567</x:v>
      </x:c>
      <x:c r="M22" s="23" t="n">
        <x:v>15000</x:v>
      </x:c>
      <x:c r="N22" s="23" t="n">
        <x:f>MAX(200,ROUNDUP(D22*'维护参数'!$B$17/'维护参数'!$B$15/10,0)*10)</x:f>
        <x:v>200</x:v>
      </x:c>
      <x:c r="O22" s="23" t="n">
        <x:f>MAX(200,ROUNDUP(D22*'维护参数'!$B$18/'维护参数'!$B$15/10,0)*10)</x:f>
        <x:v>200</x:v>
      </x:c>
      <x:c r="P22" s="23" t="n">
        <x:f>MAX(300,ROUNDUP(D22*'维护参数'!$B$19/'维护参数'!$B$15/10,0)*10)</x:f>
        <x:v>300</x:v>
      </x:c>
      <x:c r="Q22" s="24" t="n">
        <x:f>M22/1000*'维护参数'!$B$6+N22*'维护参数'!$B$7+O22*'维护参数'!$B$8+P22*'维护参数'!$B$9</x:f>
        <x:v>1140</x:v>
      </x:c>
      <x:c r="R22" s="22" t="n">
        <x:f>L22+Q22</x:f>
        <x:v>1707</x:v>
      </x:c>
      <x:c r="S22" s="25" t="n">
        <x:f>R22/I22</x:f>
        <x:v>0.2845</x:v>
      </x:c>
      <x:c r="T22" s="22" t="n">
        <x:f>I22-R22</x:f>
        <x:v>4293</x:v>
      </x:c>
      <x:c r="U22" s="25" t="n">
        <x:f>T22/D22</x:f>
        <x:v>0.4293</x:v>
      </x:c>
      <x:c r="V22" s="22" t="n">
        <x:f>T22*'维护参数'!$B$20</x:f>
        <x:v>2790.4500000000003</x:v>
      </x:c>
      <x:c r="W22" s="25" t="n">
        <x:f>V22/D22</x:f>
        <x:v>0.27904500000000004</x:v>
      </x:c>
      <x:c r="X22" s="26" t="str">
        <x:v>补充建议</x:v>
      </x:c>
      <x:c r="Y22" s="27" t="str">
        <x:v>https://v.douyin.com/iNvCP4uJ/</x:v>
      </x:c>
    </x:row>
    <x:row r="23" ht="24" customHeight="1">
      <x:c r="H23" s="6" t="str">
        <x:v>平台单</x:v>
      </x:c>
      <x:c r="I23" s="13" t="n">
        <x:f>D22*'维护参数'!$B$10</x:f>
        <x:v>7000</x:v>
      </x:c>
      <x:c r="K23" s="6" t="str">
        <x:v>千川无视版</x:v>
      </x:c>
      <x:c r="L23" s="22" t="n">
        <x:f>MAX('维护参数'!$B$5,ROUNDUP(J22/10000,0))*'维护参数'!$B$3</x:f>
        <x:v>1485</x:v>
      </x:c>
      <x:c r="R23" s="22" t="n">
        <x:f>L23+Q22</x:f>
        <x:v>2625</x:v>
      </x:c>
      <x:c r="S23" s="25" t="n">
        <x:f>R23/I23</x:f>
        <x:v>0.375</x:v>
      </x:c>
      <x:c r="T23" s="22" t="n">
        <x:f>I23-R23</x:f>
        <x:v>4375</x:v>
      </x:c>
      <x:c r="U23" s="25" t="n">
        <x:f>T23/D22</x:f>
        <x:v>0.4375</x:v>
      </x:c>
      <x:c r="V23" s="22" t="n">
        <x:f>T23*'维护参数'!$B$20</x:f>
        <x:v>2843.75</x:v>
      </x:c>
      <x:c r="W23" s="32" t="n">
        <x:f>V23/D22</x:f>
        <x:v>0.284375</x:v>
      </x:c>
    </x:row>
  </x:sheetData>
  <x:mergeCells>
    <x:mergeCell ref="A1:Y1"/>
    <x:mergeCell ref="A2:Y7"/>
    <x:mergeCell ref="A10:A11"/>
    <x:mergeCell ref="B10:B11"/>
    <x:mergeCell ref="C10:C11"/>
    <x:mergeCell ref="D10:D11"/>
    <x:mergeCell ref="E10:E11"/>
    <x:mergeCell ref="F10:F11"/>
    <x:mergeCell ref="G10:G11"/>
    <x:mergeCell ref="J10:J11"/>
    <x:mergeCell ref="M10:M11"/>
    <x:mergeCell ref="N10:N11"/>
    <x:mergeCell ref="O10:O11"/>
    <x:mergeCell ref="P10:P11"/>
    <x:mergeCell ref="Q10:Q11"/>
    <x:mergeCell ref="X10:X11"/>
    <x:mergeCell ref="Y10:Y11"/>
    <x:mergeCell ref="A12:A13"/>
    <x:mergeCell ref="B12:B13"/>
    <x:mergeCell ref="C12:C13"/>
    <x:mergeCell ref="D12:D13"/>
    <x:mergeCell ref="E12:E13"/>
    <x:mergeCell ref="F12:F13"/>
    <x:mergeCell ref="G12:G13"/>
    <x:mergeCell ref="J12:J13"/>
    <x:mergeCell ref="M12:M13"/>
    <x:mergeCell ref="N12:N13"/>
    <x:mergeCell ref="O12:O13"/>
    <x:mergeCell ref="P12:P13"/>
    <x:mergeCell ref="Q12:Q13"/>
    <x:mergeCell ref="X12:X13"/>
    <x:mergeCell ref="Y12:Y13"/>
    <x:mergeCell ref="A14:A15"/>
    <x:mergeCell ref="B14:B15"/>
    <x:mergeCell ref="C14:C15"/>
    <x:mergeCell ref="D14:D15"/>
    <x:mergeCell ref="E14:E15"/>
    <x:mergeCell ref="F14:F15"/>
    <x:mergeCell ref="G14:G15"/>
    <x:mergeCell ref="J14:J15"/>
    <x:mergeCell ref="M14:M15"/>
    <x:mergeCell ref="N14:N15"/>
    <x:mergeCell ref="O14:O15"/>
    <x:mergeCell ref="P14:P15"/>
    <x:mergeCell ref="Q14:Q15"/>
    <x:mergeCell ref="X14:X15"/>
    <x:mergeCell ref="Y14:Y15"/>
    <x:mergeCell ref="A16:A17"/>
    <x:mergeCell ref="B16:B17"/>
    <x:mergeCell ref="C16:C17"/>
    <x:mergeCell ref="D16:D17"/>
    <x:mergeCell ref="E16:E17"/>
    <x:mergeCell ref="F16:F17"/>
    <x:mergeCell ref="G16:G17"/>
    <x:mergeCell ref="J16:J17"/>
    <x:mergeCell ref="M16:M17"/>
    <x:mergeCell ref="N16:N17"/>
    <x:mergeCell ref="O16:O17"/>
    <x:mergeCell ref="P16:P17"/>
    <x:mergeCell ref="Q16:Q17"/>
    <x:mergeCell ref="X16:X17"/>
    <x:mergeCell ref="Y16:Y17"/>
    <x:mergeCell ref="A18:A19"/>
    <x:mergeCell ref="B18:B19"/>
    <x:mergeCell ref="C18:C19"/>
    <x:mergeCell ref="D18:D19"/>
    <x:mergeCell ref="E18:E19"/>
    <x:mergeCell ref="F18:F19"/>
    <x:mergeCell ref="G18:G19"/>
    <x:mergeCell ref="J18:J19"/>
    <x:mergeCell ref="M18:M19"/>
    <x:mergeCell ref="N18:N19"/>
    <x:mergeCell ref="O18:O19"/>
    <x:mergeCell ref="P18:P19"/>
    <x:mergeCell ref="Q18:Q19"/>
    <x:mergeCell ref="X18:X19"/>
    <x:mergeCell ref="Y18:Y19"/>
    <x:mergeCell ref="A20:A21"/>
    <x:mergeCell ref="B20:B21"/>
    <x:mergeCell ref="C20:C21"/>
    <x:mergeCell ref="D20:D21"/>
    <x:mergeCell ref="E20:E21"/>
    <x:mergeCell ref="F20:F21"/>
    <x:mergeCell ref="G20:G21"/>
    <x:mergeCell ref="J20:J21"/>
    <x:mergeCell ref="M20:M21"/>
    <x:mergeCell ref="N20:N21"/>
    <x:mergeCell ref="O20:O21"/>
    <x:mergeCell ref="P20:P21"/>
    <x:mergeCell ref="Q20:Q21"/>
    <x:mergeCell ref="X20:X21"/>
    <x:mergeCell ref="Y20:Y21"/>
    <x:mergeCell ref="A22:A23"/>
    <x:mergeCell ref="B22:B23"/>
    <x:mergeCell ref="C22:C23"/>
    <x:mergeCell ref="D22:D23"/>
    <x:mergeCell ref="E22:E23"/>
    <x:mergeCell ref="F22:F23"/>
    <x:mergeCell ref="G22:G23"/>
    <x:mergeCell ref="J22:J23"/>
    <x:mergeCell ref="M22:M23"/>
    <x:mergeCell ref="N22:N23"/>
    <x:mergeCell ref="O22:O23"/>
    <x:mergeCell ref="P22:P23"/>
    <x:mergeCell ref="Q22:Q23"/>
    <x:mergeCell ref="X22:X23"/>
    <x:mergeCell ref="Y22:Y23"/>
  </x:mergeCells>
  <x:pageMargins left="0.7" right="0.7" top="0.75" bottom="0.75" header="0.3" footer="0.3"/>
</x:worksheet>
</file>