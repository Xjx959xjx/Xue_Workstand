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9060" activeTab="2"/>
  </bookViews>
  <sheets>
    <sheet name="维护标准" sheetId="1" r:id="rId1"/>
    <sheet name="需补DOU+" sheetId="2" r:id="rId2"/>
    <sheet name="抖音小号维护标准" sheetId="3" r:id="rId3"/>
    <sheet name="维护参数" sheetId="4" r:id="rId4"/>
  </sheets>
  <definedNames>
    <definedName name="_xlnm._FilterDatabase" localSheetId="1" hidden="1">'需补DOU+'!$A$1:$V$43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<sst xmlns="http://schemas.openxmlformats.org/spreadsheetml/2006/main" count="500" uniqueCount="253">
  <si>
    <t>【MCN事业部】自孵化账号维护标准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</si>
  <si>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</si>
  <si>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</si>
  <si>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</si>
  <si>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</si>
  <si>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</si>
  <si>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</si>
  <si>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</si>
  <si>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</si>
  <si>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</si>
  <si>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</si>
  <si>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</si>
  <si>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</si>
  <si>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</si>
  <si>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</si>
  <si>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</si>
  <si>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</si>
  <si>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</si>
  <si>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</si>
  <si>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</si>
  <si>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</si>
  <si>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</si>
  <si>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</si>
  <si>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外显CPM</t>
  </si>
  <si>
    <t>播放中位数</t>
  </si>
  <si>
    <t>外显CPM（排营销）</t>
  </si>
  <si>
    <t>播放中位数（排营销）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</si>
  <si>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</si>
  <si>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</si>
  <si>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</si>
  <si>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</si>
  <si>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</si>
  <si>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</si>
  <si>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</si>
  <si>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s</t>
  </si>
  <si>
    <t>序号</t>
  </si>
  <si>
    <t>商单</t>
  </si>
  <si>
    <t>发布链接</t>
  </si>
  <si>
    <t>是否为星图单</t>
  </si>
  <si>
    <t>已投成本</t>
  </si>
  <si>
    <t>播放量
（只算自然量加doui+）</t>
  </si>
  <si>
    <t>需补dou+</t>
  </si>
  <si>
    <t>发起申请</t>
  </si>
  <si>
    <t>投放</t>
  </si>
  <si>
    <t>昵称</t>
  </si>
  <si>
    <t>条数</t>
  </si>
  <si>
    <t>金额</t>
  </si>
  <si>
    <t>营销标的</t>
  </si>
  <si>
    <r>
      <rPr>
        <b/>
        <sz val="11"/>
        <color rgb="FF000000"/>
        <rFont val="宋体"/>
        <charset val="134"/>
      </rPr>
      <t>星图播放量中位数</t>
    </r>
    <r>
      <rPr>
        <b/>
        <sz val="11"/>
        <color rgb="FF000000"/>
        <rFont val="宋体"/>
        <charset val="134"/>
      </rPr>
      <t xml:space="preserve">
维护前</t>
    </r>
  </si>
  <si>
    <r>
      <rPr>
        <b/>
        <sz val="11"/>
        <color rgb="FF000000"/>
        <rFont val="宋体"/>
        <charset val="134"/>
      </rPr>
      <t>星图播放量中位数</t>
    </r>
    <r>
      <rPr>
        <b/>
        <sz val="11"/>
        <color rgb="FF000000"/>
        <rFont val="宋体"/>
        <charset val="134"/>
      </rPr>
      <t xml:space="preserve">
维护后预估</t>
    </r>
  </si>
  <si>
    <r>
      <rPr>
        <b/>
        <sz val="11"/>
        <color rgb="FF000000"/>
        <rFont val="宋体"/>
        <charset val="134"/>
      </rPr>
      <t>预期播放量</t>
    </r>
    <r>
      <rPr>
        <b/>
        <sz val="11"/>
        <color rgb="FF000000"/>
        <rFont val="宋体"/>
        <charset val="134"/>
      </rPr>
      <t xml:space="preserve">
维护前</t>
    </r>
  </si>
  <si>
    <r>
      <rPr>
        <b/>
        <sz val="11"/>
        <color rgb="FF000000"/>
        <rFont val="宋体"/>
        <charset val="134"/>
      </rPr>
      <t>预期播放量</t>
    </r>
    <r>
      <rPr>
        <b/>
        <sz val="11"/>
        <color rgb="FF000000"/>
        <rFont val="宋体"/>
        <charset val="134"/>
      </rPr>
      <t xml:space="preserve">
维护后预估（一个月后）</t>
    </r>
  </si>
  <si>
    <t>预期播Cpm
维护后预估（一个月后）</t>
  </si>
  <si>
    <t>千川</t>
  </si>
  <si>
    <t>dou+</t>
  </si>
  <si>
    <t>合计</t>
  </si>
  <si>
    <t>穿越火线</t>
  </si>
  <si>
    <r>
      <rPr>
        <u/>
        <sz val="10"/>
        <color rgb="FF267EF0"/>
        <rFont val="宋体"/>
        <charset val="134"/>
      </rPr>
      <t>https://v.douyin.com/O_y6EZe7Pxc/</t>
    </r>
  </si>
  <si>
    <t>否</t>
  </si>
  <si>
    <t>/</t>
  </si>
  <si>
    <t>新天龙八部、三国火凤燎原</t>
  </si>
  <si>
    <t>仙遇</t>
  </si>
  <si>
    <r>
      <rPr>
        <u/>
        <sz val="10"/>
        <color rgb="FF267EF0"/>
        <rFont val="微软雅黑"/>
        <charset val="134"/>
      </rPr>
      <t>https://v.douyin.com/bBaFptMb0cI/</t>
    </r>
  </si>
  <si>
    <t>三国志王道天下、新天龙八部</t>
  </si>
  <si>
    <t>雾海之下</t>
  </si>
  <si>
    <r>
      <rPr>
        <u/>
        <sz val="10"/>
        <color rgb="FF267EF0"/>
        <rFont val="宋体"/>
        <charset val="134"/>
      </rPr>
      <t>https://v.douyin.com/_YVsx0qkLhY/</t>
    </r>
  </si>
  <si>
    <t>仙遇、应用宝</t>
  </si>
  <si>
    <t>疯狂水世界</t>
  </si>
  <si>
    <r>
      <rPr>
        <u/>
        <sz val="10"/>
        <color rgb="FF267EF0"/>
        <rFont val="宋体"/>
        <charset val="134"/>
      </rPr>
      <t>https://v.douyin.com/PXOEqRrTTWE/</t>
    </r>
  </si>
  <si>
    <t>是</t>
  </si>
  <si>
    <t>三角洲行动、三国火凤燎原</t>
  </si>
  <si>
    <t>天龙八部</t>
  </si>
  <si>
    <r>
      <rPr>
        <u/>
        <sz val="10"/>
        <color rgb="FF267EF0"/>
        <rFont val="宋体"/>
        <charset val="134"/>
      </rPr>
      <t>https://v.douyin.com/QBFbHgS_qzs/</t>
    </r>
  </si>
  <si>
    <t>向末日开炮、新天龙八部</t>
  </si>
  <si>
    <t>三国火凤燎原</t>
  </si>
  <si>
    <r>
      <rPr>
        <u/>
        <sz val="10"/>
        <color rgb="FF267EF0"/>
        <rFont val="微软雅黑"/>
        <charset val="134"/>
      </rPr>
      <t>https://v.douyin.com/Qpj1irNXt2o/</t>
    </r>
  </si>
  <si>
    <t>ROG</t>
  </si>
  <si>
    <t>雅迪x绝区零</t>
  </si>
  <si>
    <r>
      <rPr>
        <u/>
        <sz val="10"/>
        <color rgb="FF267EF0"/>
        <rFont val="微软雅黑"/>
        <charset val="134"/>
      </rPr>
      <t>https://v.douyin.com/balqG0MdVto/</t>
    </r>
  </si>
  <si>
    <t>三国志王道天下</t>
  </si>
  <si>
    <t>新大话西游</t>
  </si>
  <si>
    <r>
      <rPr>
        <u/>
        <sz val="10"/>
        <color rgb="FF267EF0"/>
        <rFont val="微软雅黑"/>
        <charset val="134"/>
      </rPr>
      <t>https://v.douyin.com/sddgZUvHCH8/</t>
    </r>
  </si>
  <si>
    <t>IQOO</t>
  </si>
  <si>
    <r>
      <rPr>
        <u/>
        <sz val="10"/>
        <color rgb="FF267EF0"/>
        <rFont val="微软雅黑"/>
        <charset val="134"/>
      </rPr>
      <t>https://v.douyin.com/QU_a6-qEFSc/</t>
    </r>
  </si>
  <si>
    <t>率土之滨</t>
  </si>
  <si>
    <r>
      <rPr>
        <u/>
        <sz val="10"/>
        <color rgb="FF267EF0"/>
        <rFont val="微软雅黑"/>
        <charset val="134"/>
      </rPr>
      <t>https://v.douyin.com/sJElyt9DQsk/</t>
    </r>
  </si>
  <si>
    <t>未发</t>
  </si>
  <si>
    <t>下阶段报价</t>
  </si>
  <si>
    <t xml:space="preserve">目标星图中位数
</t>
  </si>
  <si>
    <r>
      <rPr>
        <u/>
        <sz val="10"/>
        <color rgb="FF267EF0"/>
        <rFont val="微软雅黑"/>
        <charset val="134"/>
      </rPr>
      <t>https://v.douyin.com/Ypf3z8VOGM4/</t>
    </r>
  </si>
  <si>
    <t>三国志：王道天下</t>
  </si>
  <si>
    <r>
      <rPr>
        <u/>
        <sz val="10"/>
        <color rgb="FF267EF0"/>
        <rFont val="微软雅黑"/>
        <charset val="134"/>
      </rPr>
      <t>https://v.douyin.com/QHOABaZ8XpY/</t>
    </r>
  </si>
  <si>
    <r>
      <rPr>
        <u/>
        <sz val="10"/>
        <color rgb="FF267EF0"/>
        <rFont val="微软雅黑"/>
        <charset val="134"/>
      </rPr>
      <t>https://v.douyin.com/0K55vTkPf80/</t>
    </r>
  </si>
  <si>
    <t>新天龙八部</t>
  </si>
  <si>
    <r>
      <rPr>
        <u/>
        <sz val="10"/>
        <color rgb="FF267EF0"/>
        <rFont val="微软雅黑"/>
        <charset val="134"/>
      </rPr>
      <t>https://v.douyin.com/o3WY-D0i2SU</t>
    </r>
  </si>
  <si>
    <r>
      <rPr>
        <u/>
        <sz val="10"/>
        <color rgb="FF267EF0"/>
        <rFont val="微软雅黑"/>
        <charset val="134"/>
      </rPr>
      <t>https://v.douyin.com/LMBUS2mv5nQ/</t>
    </r>
  </si>
  <si>
    <t>违规不投流</t>
  </si>
  <si>
    <r>
      <rPr>
        <u/>
        <sz val="10"/>
        <color rgb="FF267EF0"/>
        <rFont val="微软雅黑"/>
        <charset val="134"/>
      </rPr>
      <t>https://v.douyin.com/nWTl7vI_tXs/</t>
    </r>
  </si>
  <si>
    <t>appstore</t>
  </si>
  <si>
    <r>
      <rPr>
        <u/>
        <sz val="10"/>
        <color rgb="FF267EF0"/>
        <rFont val="宋体"/>
        <charset val="134"/>
      </rPr>
      <t xml:space="preserve"> https://v.douyin.com/tT8IDZkGMz0/</t>
    </r>
    <r>
      <rPr>
        <sz val="10"/>
        <color rgb="FF000000"/>
        <rFont val="宋体"/>
        <charset val="134"/>
      </rPr>
      <t xml:space="preserve"> </t>
    </r>
  </si>
  <si>
    <t>时空猎人:觉醒</t>
  </si>
  <si>
    <r>
      <rPr>
        <u/>
        <sz val="10"/>
        <color rgb="FF267EF0"/>
        <rFont val="宋体"/>
        <charset val="134"/>
      </rPr>
      <t>https://v.douyin.com/OMuv4vkQCnM/</t>
    </r>
    <r>
      <rPr>
        <u/>
        <sz val="10"/>
        <color rgb="FF175CEB"/>
        <rFont val="宋体"/>
        <charset val="134"/>
      </rPr>
      <t xml:space="preserve"> </t>
    </r>
  </si>
  <si>
    <t>鸿蒙CJ</t>
  </si>
  <si>
    <r>
      <rPr>
        <u/>
        <sz val="10"/>
        <color rgb="FF267EF0"/>
        <rFont val="宋体"/>
        <charset val="134"/>
      </rPr>
      <t>https://v.douyin.com/PkAgFU-6NMY/</t>
    </r>
  </si>
  <si>
    <t>dnf应用宝</t>
  </si>
  <si>
    <r>
      <rPr>
        <u/>
        <sz val="10"/>
        <color rgb="FF267EF0"/>
        <rFont val="宋体"/>
        <charset val="134"/>
      </rPr>
      <t>https://v.douyin.com/CKkb6Tnx8kY/</t>
    </r>
  </si>
  <si>
    <r>
      <rPr>
        <u/>
        <sz val="10"/>
        <color rgb="FF267EF0"/>
        <rFont val="宋体"/>
        <charset val="134"/>
      </rPr>
      <t>https://v.douyin.com/1_t7DAMMbt0/</t>
    </r>
  </si>
  <si>
    <t>IQOO抖音电商开学季</t>
  </si>
  <si>
    <r>
      <rPr>
        <u/>
        <sz val="10"/>
        <color rgb="FF267EF0"/>
        <rFont val="宋体"/>
        <charset val="134"/>
      </rPr>
      <t>https://v.douyin.com/-l8PolKZPYw/</t>
    </r>
  </si>
  <si>
    <r>
      <rPr>
        <u/>
        <sz val="10"/>
        <color rgb="FF267EF0"/>
        <rFont val="宋体"/>
        <charset val="134"/>
      </rPr>
      <t>https://v.douyin.com/xWO7974UPpc/</t>
    </r>
  </si>
  <si>
    <t>rog</t>
  </si>
  <si>
    <r>
      <rPr>
        <u/>
        <sz val="10"/>
        <color rgb="FF267EF0"/>
        <rFont val="宋体"/>
        <charset val="134"/>
      </rPr>
      <t>https://v.douyin.com/thvS9L2IReA/</t>
    </r>
    <r>
      <rPr>
        <sz val="10"/>
        <color rgb="FF000000"/>
        <rFont val="宋体"/>
        <charset val="134"/>
      </rPr>
      <t xml:space="preserve"> </t>
    </r>
  </si>
  <si>
    <r>
      <rPr>
        <u/>
        <sz val="10"/>
        <color rgb="FF267EF0"/>
        <rFont val="宋体"/>
        <charset val="134"/>
      </rPr>
      <t>https://v.douyin.com/aanjCgBObrI/</t>
    </r>
  </si>
  <si>
    <t>三角洲行动安全专项（保密项目）</t>
  </si>
  <si>
    <r>
      <rPr>
        <u/>
        <sz val="10"/>
        <color rgb="FF267EF0"/>
        <rFont val="宋体"/>
        <charset val="134"/>
      </rPr>
      <t>https://v.douyin.com/DNbu9Uasf6o/</t>
    </r>
    <r>
      <rPr>
        <sz val="10"/>
        <color rgb="FF000000"/>
        <rFont val="宋体"/>
        <charset val="134"/>
      </rPr>
      <t xml:space="preserve"> </t>
    </r>
  </si>
  <si>
    <t>金铲铲之战</t>
  </si>
  <si>
    <r>
      <rPr>
        <u/>
        <sz val="10"/>
        <color rgb="FF267EF0"/>
        <rFont val="宋体"/>
        <charset val="134"/>
      </rPr>
      <t>https://v.douyin.com/KJaISoIxLbU/</t>
    </r>
  </si>
  <si>
    <t>三角洲行动PC</t>
  </si>
  <si>
    <r>
      <rPr>
        <u/>
        <sz val="10"/>
        <color rgb="FF267EF0"/>
        <rFont val="宋体"/>
        <charset val="134"/>
      </rPr>
      <t>https://v.douyin.com/Ct9hnyrL9Uc/</t>
    </r>
  </si>
  <si>
    <t>三角洲行动</t>
  </si>
  <si>
    <r>
      <rPr>
        <u/>
        <sz val="10"/>
        <color rgb="FF267EF0"/>
        <rFont val="宋体"/>
        <charset val="134"/>
      </rPr>
      <t>https://v.douyin.com/3hiHS1_T408/</t>
    </r>
  </si>
  <si>
    <r>
      <rPr>
        <u/>
        <sz val="10"/>
        <color rgb="FF267EF0"/>
        <rFont val="宋体"/>
        <charset val="134"/>
      </rPr>
      <t>https://v.douyin.com/XbgCixFkm3o/</t>
    </r>
  </si>
  <si>
    <t>5.8w</t>
  </si>
  <si>
    <r>
      <rPr>
        <u/>
        <sz val="10"/>
        <color rgb="FF267EF0"/>
        <rFont val="宋体"/>
        <charset val="134"/>
      </rPr>
      <t>https://v.douyin.com/16ZUpOdgoAs/</t>
    </r>
  </si>
  <si>
    <t>17.2w</t>
  </si>
  <si>
    <r>
      <rPr>
        <u/>
        <sz val="10"/>
        <color rgb="FF267EF0"/>
        <rFont val="宋体"/>
        <charset val="134"/>
      </rPr>
      <t>https://v.douyin.com/EzilU_chRrE/</t>
    </r>
  </si>
  <si>
    <t>5.2w</t>
  </si>
  <si>
    <t>王者万象棋</t>
  </si>
  <si>
    <r>
      <rPr>
        <u/>
        <sz val="10"/>
        <color rgb="FF267EF0"/>
        <rFont val="微软雅黑"/>
        <charset val="134"/>
      </rPr>
      <t>https://v.douyin.com/v4bqWZel5Qc/</t>
    </r>
  </si>
  <si>
    <t>5w</t>
  </si>
  <si>
    <t>仙遇cj</t>
  </si>
  <si>
    <r>
      <rPr>
        <u/>
        <sz val="10"/>
        <color rgb="FF267EF0"/>
        <rFont val="宋体"/>
        <charset val="134"/>
      </rPr>
      <t>https://v.douyin.com/yACJcyK96A4/</t>
    </r>
  </si>
  <si>
    <r>
      <rPr>
        <u/>
        <sz val="10"/>
        <color rgb="FF267EF0"/>
        <rFont val="宋体"/>
        <charset val="134"/>
      </rPr>
      <t>https://v.douyin.com/ngKT1OYusH4/</t>
    </r>
  </si>
  <si>
    <t>向末日开炮</t>
  </si>
  <si>
    <r>
      <rPr>
        <u/>
        <sz val="10"/>
        <color rgb="FF267EF0"/>
        <rFont val="宋体"/>
        <charset val="134"/>
      </rPr>
      <t>https://v.douyin.com/ZnWPfsIG9XU/</t>
    </r>
  </si>
  <si>
    <t>小猿口算</t>
  </si>
  <si>
    <t>Appstore</t>
  </si>
  <si>
    <r>
      <rPr>
        <u/>
        <sz val="12"/>
        <color rgb="FF267EF0"/>
        <rFont val="宋体"/>
        <charset val="134"/>
      </rPr>
      <t>https://v.douyin.com/UhPgGSyTbak/</t>
    </r>
  </si>
  <si>
    <t>新天龙八部端游</t>
  </si>
  <si>
    <r>
      <rPr>
        <u/>
        <sz val="10"/>
        <color rgb="FF267EF0"/>
        <rFont val="宋体"/>
        <charset val="134"/>
      </rPr>
      <t>https://v.douyin.com/oywc2rq4MRI/</t>
    </r>
  </si>
  <si>
    <t>【内容事业部】抖音游戏类小号维护标准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</si>
  <si>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</si>
  <si>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定制
刊例价</t>
  </si>
  <si>
    <t>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</si>
  <si>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</si>
  <si>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</si>
  <si>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</si>
  <si>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</si>
  <si>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</si>
  <si>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</si>
  <si>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</si>
  <si>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收藏</t>
  </si>
  <si>
    <t>转发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</si>
  <si>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</si>
  <si>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</si>
  <si>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</si>
  <si>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</si>
  <si>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</si>
  <si>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</si>
  <si>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</si>
  <si>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负责人</t>
  </si>
  <si>
    <t>主页链接</t>
  </si>
  <si>
    <t>麦小雯</t>
  </si>
  <si>
    <t>私单</t>
  </si>
  <si>
    <t>普通千川</t>
  </si>
  <si>
    <t>陈健伊</t>
  </si>
  <si>
    <t>https://v.douyin.com/DcH2brXPgvc/</t>
  </si>
  <si>
    <t>平台单</t>
  </si>
  <si>
    <t>千川无视版</t>
  </si>
  <si>
    <t>葵仔不想肝</t>
  </si>
  <si>
    <t>刘登魁</t>
  </si>
  <si>
    <t>https://v.douyin.com/38Scd6JrG_s/</t>
  </si>
  <si>
    <t>游热娃子</t>
  </si>
  <si>
    <t>杨鸿霆</t>
  </si>
  <si>
    <t>https://v.douyin.com/JmcvjVd/</t>
  </si>
  <si>
    <t>游小妹</t>
  </si>
  <si>
    <t>https://v.douyin.com/JmcXQpY/</t>
  </si>
  <si>
    <t>灵梦小师妹</t>
  </si>
  <si>
    <t>林宇辰</t>
  </si>
  <si>
    <t>https://www.douyin.com/user/MS4wLjABAAAAJfqON1LDmWBPlUXvQ-iwZ6AZLbLuIj72uGiFUuot89k</t>
  </si>
  <si>
    <t>超玩教授</t>
  </si>
  <si>
    <t>商光涵</t>
  </si>
  <si>
    <t>https://v.douyin.com/JJ3p572/</t>
  </si>
  <si>
    <t>lee小强</t>
  </si>
  <si>
    <t>https://v.douyin.com/ihb6eF8j/</t>
  </si>
  <si>
    <t>不玩就分手</t>
  </si>
  <si>
    <t xml:space="preserve"> https://v.douyin.com/jTKED_9fV4A/</t>
  </si>
  <si>
    <t>游梗要说</t>
  </si>
  <si>
    <t>罗晓棋</t>
  </si>
  <si>
    <t>https://www.douyin.com/user/MS4wLjABAAAAbRgpD5qO5M7mlI-ALMWDbsqjwiSeFC1WxNPKVgjsSCbFam1N0thGyVDw-PfRjICt</t>
  </si>
  <si>
    <t>中二探长</t>
  </si>
  <si>
    <t>陈泓睿</t>
  </si>
  <si>
    <t>https://v.douyin.com/mFA-j2xaAJY/</t>
  </si>
  <si>
    <t>嘿小虎</t>
  </si>
  <si>
    <t>https://v.douyin.com/lIhi6TchbPw/</t>
  </si>
  <si>
    <t>有事找学姐</t>
  </si>
  <si>
    <t>https://v.douyin.com/ettSTTldPIc/</t>
  </si>
  <si>
    <t>游点慌</t>
  </si>
  <si>
    <t>https://v.douyin.com/2hO1tem8Xhg/</t>
  </si>
  <si>
    <t>饭十七</t>
  </si>
  <si>
    <t>https://v.douyin.com/m8vFSRuq1co/</t>
  </si>
  <si>
    <t>跑腿的包子</t>
  </si>
  <si>
    <t>https://v.douyin.com/Vva749Cn4Fk/</t>
  </si>
  <si>
    <t>游侠蹦蹦</t>
  </si>
  <si>
    <t xml:space="preserve">https://v.douyin.com/dO7_tPj7Mgo/ </t>
  </si>
  <si>
    <t>夏洛</t>
  </si>
  <si>
    <t>https://v.douyin.com/wq_9XvcbfS0/</t>
  </si>
  <si>
    <t>畅玩百晓生</t>
  </si>
  <si>
    <t>https://v.douyin.com/jTTVNutNIRQ/</t>
  </si>
  <si>
    <t>游戏永动机</t>
  </si>
  <si>
    <t>https://v.douyin.com/c2M4VXTdIvM/</t>
  </si>
  <si>
    <t>皮皮说游戏</t>
  </si>
  <si>
    <t>https://v.douyin.com/iSUabqnS/</t>
  </si>
  <si>
    <t>参数</t>
  </si>
  <si>
    <t>数值</t>
  </si>
  <si>
    <t>单位 / 来源</t>
  </si>
  <si>
    <t>私单千川</t>
  </si>
  <si>
    <t>元/万；工作台，2026-09-14</t>
  </si>
  <si>
    <t>平台千川无视版</t>
  </si>
  <si>
    <t>私单千川起量</t>
  </si>
  <si>
    <t>万；工作台</t>
  </si>
  <si>
    <t>平台千川起量</t>
  </si>
  <si>
    <t>点赞（科技）</t>
  </si>
  <si>
    <t>元/千；工作台unitPrice</t>
  </si>
  <si>
    <t>自定义评论</t>
  </si>
  <si>
    <t>元/个；工作台unitPrice</t>
  </si>
  <si>
    <t>平台结算折扣</t>
  </si>
  <si>
    <t>用户要求</t>
  </si>
  <si>
    <t>播放系数</t>
  </si>
  <si>
    <t>大号模板J列</t>
  </si>
  <si>
    <t>目标播放CPM</t>
  </si>
  <si>
    <t>元/千次；大号模板J列</t>
  </si>
  <si>
    <t>星图观察CPM</t>
  </si>
  <si>
    <t>大号模板K列</t>
  </si>
  <si>
    <t>星图观察系数</t>
  </si>
  <si>
    <t>互动档基准报价</t>
  </si>
  <si>
    <t>元；大号模板1万元档</t>
  </si>
  <si>
    <t>点赞基准</t>
  </si>
  <si>
    <t>个；模板15×18中的15为千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</si>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</sst>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_ * #,##0_ ;_ * \-#,##0_ ;_ * &quot;-&quot;??_ ;_ @_ "/>
    <numFmt numFmtId="178" formatCode="\¥#,##0_);[Red]\(\¥#,##0\)"/>
    <numFmt numFmtId="179" formatCode="&quot;￥&quot;#,##0.0_);[Red]\(&quot;￥&quot;#,##0.0\)"/>
  </numFmts>
  <fonts count="37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22"/>
      <color rgb="FFFFFFFF"/>
      <name val="等线"/>
      <charset val="134"/>
      <scheme val="minor"/>
    </font>
    <font>
      <b/>
      <sz val="16"/>
      <color rgb="FFFFFFFF"/>
      <name val="等线"/>
      <charset val="134"/>
      <scheme val="minor"/>
    </font>
    <font>
      <b/>
      <sz val="10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  <font>
      <sz val="12"/>
      <name val="等线"/>
      <charset val="134"/>
      <scheme val="minor"/>
    </font>
    <font>
      <sz val="16"/>
      <color rgb="FFFFFFFF"/>
      <name val="等线"/>
      <charset val="134"/>
      <scheme val="minor"/>
    </font>
    <font>
      <b/>
      <sz val="10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宋体"/>
      <charset val="134"/>
    </font>
    <font>
      <u/>
      <sz val="10"/>
      <color rgb="FF267EF0"/>
      <name val="微软雅黑"/>
      <charset val="134"/>
    </font>
    <font>
      <sz val="10"/>
      <color rgb="FF000000"/>
      <name val="宋体"/>
      <charset val="134"/>
    </font>
    <font>
      <b/>
      <sz val="11"/>
      <color rgb="FF000000"/>
      <name val="宋体"/>
      <charset val="134"/>
    </font>
    <font>
      <u/>
      <sz val="10"/>
      <color rgb="FF175CEB"/>
      <name val="宋体"/>
      <charset val="134"/>
    </font>
    <font>
      <u/>
      <sz val="12"/>
      <color rgb="FF267EF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5E5FF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14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5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5" borderId="1" xfId="0" applyFont="1" applyFill="1" applyBorder="1">
      <alignment vertical="center"/>
    </xf>
    <xf numFmtId="0" fontId="0" fillId="0" borderId="4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center" vertical="center"/>
    </xf>
    <xf numFmtId="177" fontId="5" fillId="7" borderId="1" xfId="0" applyNumberFormat="1" applyFont="1" applyFill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5" xfId="0" applyFont="1" applyBorder="1">
      <alignment vertical="center"/>
    </xf>
    <xf numFmtId="0" fontId="9" fillId="3" borderId="0" xfId="0" applyFont="1" applyFill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0" fillId="0" borderId="7" xfId="0" applyFont="1" applyBorder="1">
      <alignment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right" vertical="center"/>
    </xf>
    <xf numFmtId="177" fontId="1" fillId="10" borderId="1" xfId="0" applyNumberFormat="1" applyFont="1" applyFill="1" applyBorder="1" applyAlignment="1">
      <alignment horizontal="right" vertical="center"/>
    </xf>
    <xf numFmtId="176" fontId="10" fillId="4" borderId="1" xfId="0" applyNumberFormat="1" applyFont="1" applyFill="1" applyBorder="1" applyAlignment="1">
      <alignment horizontal="right" vertical="center"/>
    </xf>
    <xf numFmtId="9" fontId="10" fillId="4" borderId="1" xfId="0" applyNumberFormat="1" applyFont="1" applyFill="1" applyBorder="1" applyAlignment="1">
      <alignment horizontal="right" vertical="center"/>
    </xf>
    <xf numFmtId="0" fontId="1" fillId="0" borderId="1" xfId="0" applyFont="1" applyBorder="1">
      <alignment vertical="center"/>
    </xf>
    <xf numFmtId="9" fontId="1" fillId="4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>
      <alignment vertical="center"/>
    </xf>
    <xf numFmtId="0" fontId="1" fillId="0" borderId="0" xfId="0" applyFont="1" applyFill="1">
      <alignment vertical="center"/>
    </xf>
    <xf numFmtId="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QU_a6-qEFSc/" TargetMode="External"/><Relationship Id="rId8" Type="http://schemas.openxmlformats.org/officeDocument/2006/relationships/hyperlink" Target="https://v.douyin.com/sddgZUvHCH8/" TargetMode="External"/><Relationship Id="rId7" Type="http://schemas.openxmlformats.org/officeDocument/2006/relationships/hyperlink" Target="https://v.douyin.com/balqG0MdVto/" TargetMode="External"/><Relationship Id="rId6" Type="http://schemas.openxmlformats.org/officeDocument/2006/relationships/hyperlink" Target="https://v.douyin.com/Qpj1irNXt2o/" TargetMode="External"/><Relationship Id="rId5" Type="http://schemas.openxmlformats.org/officeDocument/2006/relationships/hyperlink" Target="https://v.douyin.com/QBFbHgS_qzs/" TargetMode="External"/><Relationship Id="rId4" Type="http://schemas.openxmlformats.org/officeDocument/2006/relationships/hyperlink" Target="https://v.douyin.com/PXOEqRrTTWE/" TargetMode="External"/><Relationship Id="rId38" Type="http://schemas.openxmlformats.org/officeDocument/2006/relationships/hyperlink" Target="https://v.douyin.com/oywc2rq4MRI/" TargetMode="External"/><Relationship Id="rId37" Type="http://schemas.openxmlformats.org/officeDocument/2006/relationships/hyperlink" Target="https://v.douyin.com/UhPgGSyTbak/" TargetMode="External"/><Relationship Id="rId36" Type="http://schemas.openxmlformats.org/officeDocument/2006/relationships/hyperlink" Target="https://v.douyin.com/ZnWPfsIG9XU/" TargetMode="External"/><Relationship Id="rId35" Type="http://schemas.openxmlformats.org/officeDocument/2006/relationships/hyperlink" Target="https://v.douyin.com/ngKT1OYusH4/" TargetMode="External"/><Relationship Id="rId34" Type="http://schemas.openxmlformats.org/officeDocument/2006/relationships/hyperlink" Target="https://v.douyin.com/yACJcyK96A4/" TargetMode="External"/><Relationship Id="rId33" Type="http://schemas.openxmlformats.org/officeDocument/2006/relationships/hyperlink" Target="https://v.douyin.com/v4bqWZel5Qc/" TargetMode="External"/><Relationship Id="rId32" Type="http://schemas.openxmlformats.org/officeDocument/2006/relationships/hyperlink" Target="https://v.douyin.com/EzilU_chRrE/" TargetMode="External"/><Relationship Id="rId31" Type="http://schemas.openxmlformats.org/officeDocument/2006/relationships/hyperlink" Target="https://v.douyin.com/16ZUpOdgoAs/" TargetMode="External"/><Relationship Id="rId30" Type="http://schemas.openxmlformats.org/officeDocument/2006/relationships/hyperlink" Target="https://v.douyin.com/XbgCixFkm3o/" TargetMode="External"/><Relationship Id="rId3" Type="http://schemas.openxmlformats.org/officeDocument/2006/relationships/hyperlink" Target="https://v.douyin.com/_YVsx0qkLhY/" TargetMode="External"/><Relationship Id="rId29" Type="http://schemas.openxmlformats.org/officeDocument/2006/relationships/hyperlink" Target="https://v.douyin.com/3hiHS1_T408/" TargetMode="External"/><Relationship Id="rId28" Type="http://schemas.openxmlformats.org/officeDocument/2006/relationships/hyperlink" Target="https://v.douyin.com/Ct9hnyrL9Uc/" TargetMode="External"/><Relationship Id="rId27" Type="http://schemas.openxmlformats.org/officeDocument/2006/relationships/hyperlink" Target="https://v.douyin.com/KJaISoIxLbU/" TargetMode="External"/><Relationship Id="rId26" Type="http://schemas.openxmlformats.org/officeDocument/2006/relationships/hyperlink" Target="https://v.douyin.com/DNbu9Uasf6o/" TargetMode="External"/><Relationship Id="rId25" Type="http://schemas.openxmlformats.org/officeDocument/2006/relationships/hyperlink" Target="https://v.douyin.com/aanjCgBObrI/" TargetMode="External"/><Relationship Id="rId24" Type="http://schemas.openxmlformats.org/officeDocument/2006/relationships/hyperlink" Target="https://v.douyin.com/thvS9L2IReA/" TargetMode="External"/><Relationship Id="rId23" Type="http://schemas.openxmlformats.org/officeDocument/2006/relationships/hyperlink" Target="https://v.douyin.com/xWO7974UPpc/" TargetMode="External"/><Relationship Id="rId22" Type="http://schemas.openxmlformats.org/officeDocument/2006/relationships/hyperlink" Target="https://v.douyin.com/-l8PolKZPYw/" TargetMode="External"/><Relationship Id="rId21" Type="http://schemas.openxmlformats.org/officeDocument/2006/relationships/hyperlink" Target="https://v.douyin.com/1_t7DAMMbt0/" TargetMode="External"/><Relationship Id="rId20" Type="http://schemas.openxmlformats.org/officeDocument/2006/relationships/hyperlink" Target="https://v.douyin.com/CKkb6Tnx8kY/" TargetMode="External"/><Relationship Id="rId2" Type="http://schemas.openxmlformats.org/officeDocument/2006/relationships/hyperlink" Target="https://v.douyin.com/bBaFptMb0cI/" TargetMode="External"/><Relationship Id="rId19" Type="http://schemas.openxmlformats.org/officeDocument/2006/relationships/hyperlink" Target="https://v.douyin.com/PkAgFU-6NMY/" TargetMode="External"/><Relationship Id="rId18" Type="http://schemas.openxmlformats.org/officeDocument/2006/relationships/hyperlink" Target="https://v.douyin.com/OMuv4vkQCnM/" TargetMode="External"/><Relationship Id="rId17" Type="http://schemas.openxmlformats.org/officeDocument/2006/relationships/hyperlink" Target="https://v.douyin.com/tT8IDZkGMz0/" TargetMode="External"/><Relationship Id="rId16" Type="http://schemas.openxmlformats.org/officeDocument/2006/relationships/hyperlink" Target="https://v.douyin.com/nWTl7vI_tXs/" TargetMode="External"/><Relationship Id="rId15" Type="http://schemas.openxmlformats.org/officeDocument/2006/relationships/hyperlink" Target="https://v.douyin.com/LMBUS2mv5nQ/" TargetMode="External"/><Relationship Id="rId14" Type="http://schemas.openxmlformats.org/officeDocument/2006/relationships/hyperlink" Target="https://v.douyin.com/o3WY-D0i2SU" TargetMode="External"/><Relationship Id="rId13" Type="http://schemas.openxmlformats.org/officeDocument/2006/relationships/hyperlink" Target="https://v.douyin.com/0K55vTkPf80/" TargetMode="External"/><Relationship Id="rId12" Type="http://schemas.openxmlformats.org/officeDocument/2006/relationships/hyperlink" Target="https://v.douyin.com/QHOABaZ8XpY/" TargetMode="External"/><Relationship Id="rId11" Type="http://schemas.openxmlformats.org/officeDocument/2006/relationships/hyperlink" Target="https://v.douyin.com/Ypf3z8VOGM4/" TargetMode="External"/><Relationship Id="rId10" Type="http://schemas.openxmlformats.org/officeDocument/2006/relationships/hyperlink" Target="https://v.douyin.com/sJElyt9DQsk/" TargetMode="External"/><Relationship Id="rId1" Type="http://schemas.openxmlformats.org/officeDocument/2006/relationships/hyperlink" Target="https://v.douyin.com/O_y6EZe7Px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维护标准"/>
  <dimension ref="A1:Y13"/>
  <sheetViews>
    <sheetView workbookViewId="0">
      <selection activeCell="A1" sqref="A1:U1"/>
    </sheetView>
  </sheetViews>
  <sheetFormatPr defaultColWidth="14" defaultRowHeight="18" customHeight="1"/>
  <cols>
    <col min="1" max="3" width="13.0865384615385" style="41" customWidth="1"/>
    <col min="4" max="4" width="11.1057692307692" style="41" hidden="1" customWidth="1"/>
    <col min="5" max="5" width="10.3461538461538" style="41" hidden="1" customWidth="1"/>
    <col min="6" max="6" width="12.7596153846154" style="41" hidden="1" customWidth="1"/>
    <col min="7" max="7" width="19.8365384615385" style="41" customWidth="1"/>
    <col min="8" max="8" width="15.5096153846154" style="41" customWidth="1"/>
    <col min="9" max="9" width="12.8173076923077" style="42" customWidth="1"/>
    <col min="10" max="10" width="15.7788461538462" style="41" customWidth="1"/>
    <col min="11" max="11" width="12.5384615384615" style="41" customWidth="1"/>
    <col min="12" max="19" width="12.1442307692308" style="41" customWidth="1"/>
    <col min="20" max="21" width="11.4615384615385" style="41" customWidth="1"/>
    <col min="22" max="22" width="8.79807692307692" style="41" customWidth="1"/>
    <col min="23" max="23" width="10.2019230769231" style="41" customWidth="1"/>
    <col min="24" max="24" width="17.7884615384615" style="41" customWidth="1"/>
    <col min="25" max="25" width="19.1923076923077" style="41" customWidth="1"/>
    <col min="26" max="32" width="13.6730769230769" style="41"/>
  </cols>
  <sheetData>
    <row r="1" ht="43.5" customHeight="1" spans="1:25">
      <c r="A1" s="6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  <c r="U1" s="44"/>
    </row>
    <row r="2" s="41" customFormat="1" ht="79.5" customHeight="1" spans="1:25">
      <c r="A2" s="45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3"/>
      <c r="U2" s="3"/>
    </row>
    <row r="3" s="41" customFormat="1" ht="46" spans="1:25">
      <c r="A3" s="1" t="s">
        <v>2</v>
      </c>
      <c r="B3" s="7" t="s">
        <v>3</v>
      </c>
      <c r="C3" s="7" t="s">
        <v>4</v>
      </c>
      <c r="D3" s="1" t="s">
        <v>5</v>
      </c>
      <c r="E3" s="1" t="s">
        <v>6</v>
      </c>
      <c r="F3" s="47" t="s">
        <v>7</v>
      </c>
      <c r="G3" s="8" t="s">
        <v>8</v>
      </c>
      <c r="H3" s="8" t="s">
        <v>9</v>
      </c>
      <c r="I3" s="48" t="s">
        <v>10</v>
      </c>
      <c r="J3" s="9" t="s">
        <v>11</v>
      </c>
      <c r="K3" s="47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1" t="s">
        <v>17</v>
      </c>
      <c r="Q3" s="1" t="s">
        <v>18</v>
      </c>
      <c r="R3" s="9" t="s">
        <v>19</v>
      </c>
      <c r="S3" s="1" t="s">
        <v>20</v>
      </c>
      <c r="T3" s="9" t="s">
        <v>21</v>
      </c>
      <c r="U3" s="9" t="s">
        <v>22</v>
      </c>
      <c r="V3" s="41" t="s">
        <v>23</v>
      </c>
      <c r="W3" s="41" t="s">
        <v>24</v>
      </c>
      <c r="X3" s="41" t="s">
        <v>25</v>
      </c>
      <c r="Y3" s="41" t="s">
        <v>26</v>
      </c>
    </row>
    <row r="4" s="41" customFormat="1" ht="15.2" spans="1:25">
      <c r="A4" s="2" t="s">
        <v>27</v>
      </c>
      <c r="B4" s="10">
        <v>14800</v>
      </c>
      <c r="C4" s="10">
        <v>16600</v>
      </c>
      <c r="D4" s="13">
        <v>57000</v>
      </c>
      <c r="E4" s="49">
        <f t="shared" ref="E4:E10" si="0">B4/D4*1000</f>
        <v>259.649122807018</v>
      </c>
      <c r="F4" s="50">
        <v>69000</v>
      </c>
      <c r="G4" s="51">
        <v>14800</v>
      </c>
      <c r="H4" s="51">
        <v>16600</v>
      </c>
      <c r="I4" s="52">
        <f t="shared" ref="I4:I10" si="1">(H4-C4)/C4</f>
        <v>0</v>
      </c>
      <c r="J4" s="11">
        <f t="shared" ref="J4:J10" si="2">(H4*80%)*1000/30</f>
        <v>442666.666666667</v>
      </c>
      <c r="K4" s="50">
        <f t="shared" ref="K4:K10" si="3">H4/200*1000*1.5</f>
        <v>124500</v>
      </c>
      <c r="L4" s="12">
        <f t="shared" ref="L4:L10" si="4">K4*17/1000</f>
        <v>2116.5</v>
      </c>
      <c r="M4" s="12">
        <f t="shared" ref="M4:M10" si="5">K4*20/1000</f>
        <v>2490</v>
      </c>
      <c r="N4" s="12">
        <f t="shared" ref="N4:N10" si="6">J4-K4</f>
        <v>318166.666666667</v>
      </c>
      <c r="O4" s="12">
        <f t="shared" ref="O4:O10" si="7">(N4/1000)*5.5</f>
        <v>1749.91666666667</v>
      </c>
      <c r="P4" s="12">
        <f>30*18+200*0.8+300*0.2+200*0.1</f>
        <v>780</v>
      </c>
      <c r="Q4" s="12">
        <f t="shared" ref="Q4:Q10" si="8">M4+O4+P4</f>
        <v>5019.91666666667</v>
      </c>
      <c r="R4" s="12">
        <f t="shared" ref="R4:R10" si="9">(H4*70%)-Q4</f>
        <v>6600.08333333333</v>
      </c>
      <c r="S4" s="14">
        <f t="shared" ref="S4:S10" si="10">R4/H4</f>
        <v>0.397595381526104</v>
      </c>
      <c r="T4" s="53">
        <f t="shared" ref="T4:T10" si="11">R4*0.65</f>
        <v>4290.05416666667</v>
      </c>
      <c r="U4" s="14">
        <f t="shared" ref="U4:U10" si="12">T4/H4</f>
        <v>0.258436997991968</v>
      </c>
      <c r="V4" s="41">
        <v>197.3</v>
      </c>
      <c r="W4" s="41">
        <v>7</v>
      </c>
      <c r="X4" s="41">
        <v>237.6</v>
      </c>
      <c r="Y4" s="41">
        <v>7</v>
      </c>
    </row>
    <row r="5" s="41" customFormat="1" ht="15.2" spans="1:25">
      <c r="A5" s="2" t="s">
        <v>28</v>
      </c>
      <c r="B5" s="10">
        <v>11900</v>
      </c>
      <c r="C5" s="10">
        <v>14300</v>
      </c>
      <c r="D5" s="13">
        <v>32000</v>
      </c>
      <c r="E5" s="49">
        <f t="shared" si="0"/>
        <v>371.875</v>
      </c>
      <c r="F5" s="50">
        <v>54000</v>
      </c>
      <c r="G5" s="10">
        <f>H5*0.7</f>
        <v>12600</v>
      </c>
      <c r="H5" s="10">
        <v>18000</v>
      </c>
      <c r="I5" s="54">
        <f t="shared" si="1"/>
        <v>0.258741258741259</v>
      </c>
      <c r="J5" s="11">
        <f t="shared" si="2"/>
        <v>480000</v>
      </c>
      <c r="K5" s="50">
        <f t="shared" si="3"/>
        <v>135000</v>
      </c>
      <c r="L5" s="12">
        <f t="shared" si="4"/>
        <v>2295</v>
      </c>
      <c r="M5" s="12">
        <f t="shared" si="5"/>
        <v>2700</v>
      </c>
      <c r="N5" s="12">
        <f t="shared" si="6"/>
        <v>345000</v>
      </c>
      <c r="O5" s="12">
        <f t="shared" si="7"/>
        <v>1897.5</v>
      </c>
      <c r="P5" s="12">
        <f>20*18+200*0.8+300*0.2+200*0.1</f>
        <v>600</v>
      </c>
      <c r="Q5" s="12">
        <f t="shared" si="8"/>
        <v>5197.5</v>
      </c>
      <c r="R5" s="12">
        <f t="shared" si="9"/>
        <v>7402.5</v>
      </c>
      <c r="S5" s="14">
        <f t="shared" si="10"/>
        <v>0.41125</v>
      </c>
      <c r="T5" s="55">
        <f t="shared" si="11"/>
        <v>4811.625</v>
      </c>
      <c r="U5" s="14">
        <f t="shared" si="12"/>
        <v>0.2673125</v>
      </c>
      <c r="V5" s="41">
        <v>257.1</v>
      </c>
      <c r="W5" s="41">
        <v>5.6</v>
      </c>
      <c r="X5" s="41">
        <v>257.1</v>
      </c>
      <c r="Y5" s="41">
        <v>5.6</v>
      </c>
    </row>
    <row r="6" s="41" customFormat="1" ht="15.2" spans="1:25">
      <c r="A6" s="2" t="s">
        <v>29</v>
      </c>
      <c r="B6" s="10">
        <v>14250</v>
      </c>
      <c r="C6" s="10">
        <v>17100</v>
      </c>
      <c r="D6" s="13">
        <v>261000</v>
      </c>
      <c r="E6" s="49">
        <f t="shared" si="0"/>
        <v>54.5977011494253</v>
      </c>
      <c r="F6" s="50">
        <v>189000</v>
      </c>
      <c r="G6" s="10">
        <f>H6*0.7</f>
        <v>14000</v>
      </c>
      <c r="H6" s="10">
        <v>20000</v>
      </c>
      <c r="I6" s="54">
        <f t="shared" si="1"/>
        <v>0.169590643274854</v>
      </c>
      <c r="J6" s="11">
        <f t="shared" si="2"/>
        <v>533333.333333333</v>
      </c>
      <c r="K6" s="50">
        <f t="shared" si="3"/>
        <v>150000</v>
      </c>
      <c r="L6" s="12">
        <f t="shared" si="4"/>
        <v>2550</v>
      </c>
      <c r="M6" s="12">
        <f t="shared" si="5"/>
        <v>3000</v>
      </c>
      <c r="N6" s="12">
        <f t="shared" si="6"/>
        <v>383333.333333333</v>
      </c>
      <c r="O6" s="12">
        <f t="shared" si="7"/>
        <v>2108.33333333333</v>
      </c>
      <c r="P6" s="12">
        <f>30*18+200*0.8+300*0.2+200*0.1</f>
        <v>780</v>
      </c>
      <c r="Q6" s="12">
        <f t="shared" si="8"/>
        <v>5888.33333333333</v>
      </c>
      <c r="R6" s="12">
        <f t="shared" si="9"/>
        <v>8111.66666666667</v>
      </c>
      <c r="S6" s="14">
        <f t="shared" si="10"/>
        <v>0.405583333333333</v>
      </c>
      <c r="T6" s="55">
        <f t="shared" si="11"/>
        <v>5272.58333333333</v>
      </c>
      <c r="U6" s="14">
        <f t="shared" si="12"/>
        <v>0.263629166666667</v>
      </c>
      <c r="V6" s="41">
        <v>53.7</v>
      </c>
      <c r="W6" s="41">
        <v>19.1</v>
      </c>
      <c r="X6" s="41">
        <v>53.9</v>
      </c>
      <c r="Y6" s="41">
        <v>19.1</v>
      </c>
    </row>
    <row r="7" s="41" customFormat="1" ht="15.2" spans="1:25">
      <c r="A7" s="2" t="s">
        <v>30</v>
      </c>
      <c r="B7" s="10">
        <v>8000</v>
      </c>
      <c r="C7" s="10">
        <v>10000</v>
      </c>
      <c r="D7" s="13">
        <v>35000</v>
      </c>
      <c r="E7" s="49">
        <f t="shared" si="0"/>
        <v>228.571428571429</v>
      </c>
      <c r="F7" s="50">
        <v>84000</v>
      </c>
      <c r="G7" s="51">
        <f>H7*0.7</f>
        <v>8400</v>
      </c>
      <c r="H7" s="51">
        <v>12000</v>
      </c>
      <c r="I7" s="52">
        <f t="shared" si="1"/>
        <v>0.2</v>
      </c>
      <c r="J7" s="11">
        <f t="shared" si="2"/>
        <v>320000</v>
      </c>
      <c r="K7" s="50">
        <f t="shared" si="3"/>
        <v>90000</v>
      </c>
      <c r="L7" s="12">
        <f t="shared" si="4"/>
        <v>1530</v>
      </c>
      <c r="M7" s="12">
        <f t="shared" si="5"/>
        <v>1800</v>
      </c>
      <c r="N7" s="12">
        <f t="shared" si="6"/>
        <v>230000</v>
      </c>
      <c r="O7" s="12">
        <f t="shared" si="7"/>
        <v>1265</v>
      </c>
      <c r="P7" s="12">
        <f>15*18+200*0.8+300*0.2+200*0.1</f>
        <v>510</v>
      </c>
      <c r="Q7" s="12">
        <f t="shared" si="8"/>
        <v>3575</v>
      </c>
      <c r="R7" s="12">
        <f t="shared" si="9"/>
        <v>4825</v>
      </c>
      <c r="S7" s="14">
        <f t="shared" si="10"/>
        <v>0.402083333333333</v>
      </c>
      <c r="T7" s="55">
        <f t="shared" si="11"/>
        <v>3136.25</v>
      </c>
      <c r="U7" s="14">
        <f t="shared" si="12"/>
        <v>0.261354166666667</v>
      </c>
      <c r="V7" s="41">
        <v>169.2</v>
      </c>
      <c r="W7" s="56">
        <v>95</v>
      </c>
      <c r="X7" s="41">
        <v>203.8</v>
      </c>
      <c r="Y7" s="41">
        <v>8.4</v>
      </c>
    </row>
    <row r="8" s="41" customFormat="1" ht="15.2" spans="1:25">
      <c r="A8" s="2" t="s">
        <v>31</v>
      </c>
      <c r="B8" s="10">
        <v>15000</v>
      </c>
      <c r="C8" s="10">
        <v>18000</v>
      </c>
      <c r="D8" s="13">
        <v>13000</v>
      </c>
      <c r="E8" s="49">
        <f t="shared" si="0"/>
        <v>1153.84615384615</v>
      </c>
      <c r="F8" s="50">
        <v>84000</v>
      </c>
      <c r="G8" s="10">
        <f>H8*0.7</f>
        <v>14000</v>
      </c>
      <c r="H8" s="10">
        <v>20000</v>
      </c>
      <c r="I8" s="54">
        <f t="shared" si="1"/>
        <v>0.111111111111111</v>
      </c>
      <c r="J8" s="11">
        <f t="shared" si="2"/>
        <v>533333.333333333</v>
      </c>
      <c r="K8" s="50">
        <f t="shared" si="3"/>
        <v>150000</v>
      </c>
      <c r="L8" s="12">
        <f t="shared" si="4"/>
        <v>2550</v>
      </c>
      <c r="M8" s="12">
        <f t="shared" si="5"/>
        <v>3000</v>
      </c>
      <c r="N8" s="12">
        <f t="shared" si="6"/>
        <v>383333.333333333</v>
      </c>
      <c r="O8" s="12">
        <f t="shared" si="7"/>
        <v>2108.33333333333</v>
      </c>
      <c r="P8" s="12">
        <f>30*18+200*0.8+300*0.2+200*0.1</f>
        <v>780</v>
      </c>
      <c r="Q8" s="12">
        <f t="shared" si="8"/>
        <v>5888.33333333333</v>
      </c>
      <c r="R8" s="12">
        <f t="shared" si="9"/>
        <v>8111.66666666667</v>
      </c>
      <c r="S8" s="14">
        <f t="shared" si="10"/>
        <v>0.405583333333333</v>
      </c>
      <c r="T8" s="55">
        <f t="shared" si="11"/>
        <v>5272.58333333333</v>
      </c>
      <c r="U8" s="14">
        <f t="shared" si="12"/>
        <v>0.263629166666667</v>
      </c>
      <c r="V8" s="57">
        <v>1210.6</v>
      </c>
      <c r="W8" s="58">
        <v>10.9</v>
      </c>
      <c r="X8" s="58">
        <v>1281</v>
      </c>
      <c r="Y8" s="41">
        <v>10.9</v>
      </c>
    </row>
    <row r="9" s="41" customFormat="1" ht="15.2" spans="1:25">
      <c r="A9" s="2" t="s">
        <v>32</v>
      </c>
      <c r="B9" s="10">
        <v>10000</v>
      </c>
      <c r="C9" s="10">
        <v>12000</v>
      </c>
      <c r="D9" s="13">
        <v>26000</v>
      </c>
      <c r="E9" s="49">
        <f t="shared" si="0"/>
        <v>384.615384615385</v>
      </c>
      <c r="F9" s="50">
        <v>70000</v>
      </c>
      <c r="G9" s="51">
        <f>H9*0.7</f>
        <v>10500</v>
      </c>
      <c r="H9" s="51">
        <v>15000</v>
      </c>
      <c r="I9" s="52">
        <f t="shared" si="1"/>
        <v>0.25</v>
      </c>
      <c r="J9" s="11">
        <f t="shared" si="2"/>
        <v>400000</v>
      </c>
      <c r="K9" s="50">
        <f t="shared" si="3"/>
        <v>112500</v>
      </c>
      <c r="L9" s="12">
        <f t="shared" si="4"/>
        <v>1912.5</v>
      </c>
      <c r="M9" s="12">
        <f t="shared" si="5"/>
        <v>2250</v>
      </c>
      <c r="N9" s="12">
        <f t="shared" si="6"/>
        <v>287500</v>
      </c>
      <c r="O9" s="12">
        <f t="shared" si="7"/>
        <v>1581.25</v>
      </c>
      <c r="P9" s="12">
        <f>20*18+200*0.8+300*0.2+200*0.1</f>
        <v>600</v>
      </c>
      <c r="Q9" s="12">
        <f t="shared" si="8"/>
        <v>4431.25</v>
      </c>
      <c r="R9" s="12">
        <f t="shared" si="9"/>
        <v>6068.75</v>
      </c>
      <c r="S9" s="14">
        <f t="shared" si="10"/>
        <v>0.404583333333333</v>
      </c>
      <c r="T9" s="55">
        <f t="shared" si="11"/>
        <v>3944.6875</v>
      </c>
      <c r="U9" s="14">
        <f t="shared" si="12"/>
        <v>0.262979166666667</v>
      </c>
      <c r="V9" s="41">
        <v>138.7</v>
      </c>
      <c r="W9" s="41">
        <v>30.7</v>
      </c>
      <c r="X9" s="41">
        <v>199</v>
      </c>
      <c r="Y9" s="41">
        <v>30.7</v>
      </c>
    </row>
    <row r="10" s="41" customFormat="1" ht="15.2" spans="1:25">
      <c r="A10" s="2" t="s">
        <v>33</v>
      </c>
      <c r="B10" s="10">
        <v>8000</v>
      </c>
      <c r="C10" s="10">
        <v>10000</v>
      </c>
      <c r="D10" s="13">
        <v>26000</v>
      </c>
      <c r="E10" s="49">
        <f t="shared" si="0"/>
        <v>307.692307692308</v>
      </c>
      <c r="F10" s="50">
        <v>97000</v>
      </c>
      <c r="G10" s="51">
        <v>8000</v>
      </c>
      <c r="H10" s="51">
        <v>10000</v>
      </c>
      <c r="I10" s="52">
        <f t="shared" si="1"/>
        <v>0</v>
      </c>
      <c r="J10" s="11">
        <f t="shared" si="2"/>
        <v>266666.666666667</v>
      </c>
      <c r="K10" s="50">
        <f t="shared" si="3"/>
        <v>75000</v>
      </c>
      <c r="L10" s="12">
        <f t="shared" si="4"/>
        <v>1275</v>
      </c>
      <c r="M10" s="12">
        <f t="shared" si="5"/>
        <v>1500</v>
      </c>
      <c r="N10" s="12">
        <f t="shared" si="6"/>
        <v>191666.666666667</v>
      </c>
      <c r="O10" s="12">
        <f t="shared" si="7"/>
        <v>1054.16666666667</v>
      </c>
      <c r="P10" s="12">
        <f>15*18+200*0.8+300*0.2+200*0.1</f>
        <v>510</v>
      </c>
      <c r="Q10" s="12">
        <f t="shared" si="8"/>
        <v>3064.16666666667</v>
      </c>
      <c r="R10" s="12">
        <f t="shared" si="9"/>
        <v>3935.83333333333</v>
      </c>
      <c r="S10" s="14">
        <f t="shared" si="10"/>
        <v>0.393583333333333</v>
      </c>
      <c r="T10" s="55">
        <f t="shared" si="11"/>
        <v>2558.29166666667</v>
      </c>
      <c r="U10" s="14">
        <f t="shared" si="12"/>
        <v>0.255829166666667</v>
      </c>
      <c r="V10" s="41">
        <v>224.8</v>
      </c>
      <c r="W10" s="41">
        <v>13.7</v>
      </c>
      <c r="X10" s="41">
        <v>228.5</v>
      </c>
      <c r="Y10" s="41">
        <v>13.6</v>
      </c>
    </row>
    <row r="13" ht="15.2" spans="1:25">
      <c r="G13" t="s">
        <v>34</v>
      </c>
    </row>
  </sheetData>
  <mergeCells count="2">
    <mergeCell ref="A1:U1"/>
    <mergeCell ref="A2:U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需补DOU+"/>
  <dimension ref="A1:AE213"/>
  <sheetViews>
    <sheetView workbookViewId="0">
      <selection activeCell="A1" sqref="A1:A2"/>
    </sheetView>
  </sheetViews>
  <sheetFormatPr defaultColWidth="10.3846153846154" defaultRowHeight="15.2"/>
  <cols>
    <col min="1" max="1" width="6.34615384615385" style="16" customWidth="1"/>
    <col min="2" max="2" width="13.6730769230769" style="16"/>
    <col min="3" max="3" width="19.7884615384615" style="16" customWidth="1"/>
    <col min="4" max="4" width="33.5961538461538" style="16" customWidth="1"/>
    <col min="5" max="6" width="15.2403846153846" style="16" customWidth="1"/>
    <col min="7" max="8" width="13.6730769230769" style="16"/>
    <col min="9" max="9" width="19.0192307692308" style="16" customWidth="1"/>
    <col min="10" max="10" width="13.6730769230769" style="16"/>
    <col min="11" max="11" width="12.0961538461538" style="16" customWidth="1"/>
    <col min="12" max="12" width="8.13461538461539" style="16" customWidth="1"/>
    <col min="13" max="13" width="13.6730769230769" style="16"/>
    <col min="14" max="16" width="13.6730769230769" style="16" customWidth="1"/>
    <col min="17" max="17" width="26.9230769230769" style="16" customWidth="1"/>
    <col min="18" max="18" width="21.1826923076923" style="16" customWidth="1"/>
    <col min="19" max="19" width="21.0384615384615" style="16" customWidth="1"/>
    <col min="20" max="20" width="15.2403846153846" style="16" customWidth="1"/>
    <col min="21" max="21" width="23.3461538461538" style="16" customWidth="1"/>
    <col min="22" max="22" width="26.7019230769231" style="16" customWidth="1"/>
    <col min="23" max="31" width="13.6730769230769" style="16"/>
  </cols>
  <sheetData>
    <row r="1" s="15" customFormat="1" ht="28.5" customHeight="1" spans="1:31">
      <c r="A1" s="17" t="s">
        <v>35</v>
      </c>
      <c r="B1" s="17" t="s">
        <v>2</v>
      </c>
      <c r="C1" s="17" t="s">
        <v>36</v>
      </c>
      <c r="D1" s="17" t="s">
        <v>37</v>
      </c>
      <c r="E1" s="17" t="s">
        <v>38</v>
      </c>
      <c r="F1" s="17" t="s">
        <v>39</v>
      </c>
      <c r="G1" s="18"/>
      <c r="H1" s="18"/>
      <c r="I1" s="19" t="s">
        <v>40</v>
      </c>
      <c r="J1" s="17" t="s">
        <v>41</v>
      </c>
      <c r="K1" s="20" t="s">
        <v>42</v>
      </c>
      <c r="L1" s="20" t="s">
        <v>43</v>
      </c>
      <c r="M1" s="20"/>
      <c r="N1" s="21" t="s">
        <v>44</v>
      </c>
      <c r="O1" s="21" t="s">
        <v>45</v>
      </c>
      <c r="P1" s="21" t="s">
        <v>46</v>
      </c>
      <c r="Q1" s="21" t="s">
        <v>47</v>
      </c>
      <c r="R1" s="22" t="s">
        <v>48</v>
      </c>
      <c r="S1" s="22" t="s">
        <v>49</v>
      </c>
      <c r="T1" s="22" t="s">
        <v>50</v>
      </c>
      <c r="U1" s="22" t="s">
        <v>51</v>
      </c>
      <c r="V1" s="22" t="s">
        <v>52</v>
      </c>
      <c r="W1" s="20"/>
      <c r="X1" s="20"/>
      <c r="Y1" s="20"/>
      <c r="Z1" s="20"/>
      <c r="AA1" s="20"/>
      <c r="AB1" s="20"/>
      <c r="AC1" s="20"/>
      <c r="AD1" s="20"/>
      <c r="AE1" s="20"/>
    </row>
    <row r="2" s="15" customFormat="1" ht="27" hidden="1" customHeight="1" spans="1:31">
      <c r="A2" s="18"/>
      <c r="B2" s="18"/>
      <c r="C2" s="18"/>
      <c r="D2" s="18"/>
      <c r="E2" s="18"/>
      <c r="F2" s="17" t="s">
        <v>53</v>
      </c>
      <c r="G2" s="17" t="s">
        <v>54</v>
      </c>
      <c r="H2" s="23" t="s">
        <v>55</v>
      </c>
      <c r="I2" s="24"/>
      <c r="J2" s="18"/>
      <c r="K2" s="20"/>
      <c r="L2" s="20"/>
      <c r="M2" s="20"/>
      <c r="N2" s="18"/>
      <c r="O2" s="18"/>
      <c r="P2" s="18"/>
      <c r="Q2" s="18"/>
      <c r="R2" s="18"/>
      <c r="S2" s="18"/>
      <c r="T2" s="18"/>
      <c r="U2" s="18"/>
      <c r="V2" s="18"/>
      <c r="W2" s="20"/>
      <c r="X2" s="20"/>
      <c r="Y2" s="20"/>
      <c r="Z2" s="20"/>
      <c r="AA2" s="20"/>
      <c r="AB2" s="20"/>
      <c r="AC2" s="20"/>
      <c r="AD2" s="20"/>
      <c r="AE2" s="20"/>
    </row>
    <row r="3" ht="21" hidden="1" customHeight="1" spans="1:31">
      <c r="B3" s="16" t="s">
        <v>28</v>
      </c>
      <c r="C3" s="16" t="s">
        <v>56</v>
      </c>
      <c r="D3" s="25" t="s">
        <v>57</v>
      </c>
      <c r="E3" s="26" t="s">
        <v>58</v>
      </c>
      <c r="F3" s="16">
        <v>2164</v>
      </c>
      <c r="G3" s="16">
        <v>0</v>
      </c>
      <c r="H3" s="16">
        <f t="shared" ref="H3:H12" si="0">F3+G3</f>
        <v>2164</v>
      </c>
      <c r="I3" s="16">
        <v>16000</v>
      </c>
      <c r="J3" s="16" t="s">
        <v>59</v>
      </c>
      <c r="N3" s="27" t="s">
        <v>28</v>
      </c>
      <c r="O3" s="27">
        <v>6</v>
      </c>
      <c r="P3" s="28">
        <v>3700</v>
      </c>
      <c r="Q3" s="27" t="s">
        <v>60</v>
      </c>
      <c r="R3" s="27">
        <v>57000</v>
      </c>
      <c r="S3" s="27">
        <v>110000</v>
      </c>
      <c r="T3" s="27">
        <v>27000</v>
      </c>
      <c r="U3" s="27">
        <v>130000</v>
      </c>
      <c r="V3" s="29">
        <f>R14/U3*1000</f>
        <v>138.461538461538</v>
      </c>
    </row>
    <row r="4" ht="21" hidden="1" customHeight="1" spans="1:31">
      <c r="B4" s="16" t="s">
        <v>28</v>
      </c>
      <c r="C4" s="16" t="s">
        <v>61</v>
      </c>
      <c r="D4" s="25" t="s">
        <v>62</v>
      </c>
      <c r="E4" s="26" t="s">
        <v>58</v>
      </c>
      <c r="F4" s="16">
        <v>1574</v>
      </c>
      <c r="G4" s="16">
        <v>0</v>
      </c>
      <c r="H4" s="16">
        <f t="shared" si="0"/>
        <v>1574</v>
      </c>
      <c r="I4" s="16">
        <v>10000</v>
      </c>
      <c r="J4" s="16" t="s">
        <v>59</v>
      </c>
      <c r="N4" s="27" t="s">
        <v>32</v>
      </c>
      <c r="O4" s="27">
        <v>3</v>
      </c>
      <c r="P4" s="28">
        <v>3100</v>
      </c>
      <c r="Q4" s="27" t="s">
        <v>63</v>
      </c>
      <c r="R4" s="27">
        <v>35000</v>
      </c>
      <c r="S4" s="27">
        <v>110000</v>
      </c>
      <c r="T4" s="27">
        <v>32000</v>
      </c>
      <c r="U4" s="27">
        <v>140000</v>
      </c>
      <c r="V4" s="30">
        <f>R15/U4*1000</f>
        <v>128.571428571429</v>
      </c>
    </row>
    <row r="5" ht="21" hidden="1" customHeight="1" spans="1:31">
      <c r="B5" s="16" t="s">
        <v>28</v>
      </c>
      <c r="C5" s="16" t="s">
        <v>64</v>
      </c>
      <c r="D5" s="25" t="s">
        <v>65</v>
      </c>
      <c r="E5" s="26" t="s">
        <v>58</v>
      </c>
      <c r="F5" s="16">
        <v>1576</v>
      </c>
      <c r="G5" s="16">
        <v>500</v>
      </c>
      <c r="H5" s="16">
        <f t="shared" si="0"/>
        <v>2076</v>
      </c>
      <c r="I5" s="16">
        <v>29100</v>
      </c>
      <c r="J5" s="16" t="s">
        <v>59</v>
      </c>
      <c r="N5" s="27" t="s">
        <v>30</v>
      </c>
      <c r="O5" s="27">
        <v>2</v>
      </c>
      <c r="P5" s="28">
        <v>2000</v>
      </c>
      <c r="Q5" s="27" t="s">
        <v>66</v>
      </c>
      <c r="R5" s="27">
        <v>46000</v>
      </c>
      <c r="S5" s="27">
        <v>100000</v>
      </c>
      <c r="T5" s="27">
        <v>43000</v>
      </c>
      <c r="U5" s="27">
        <v>130000</v>
      </c>
      <c r="V5" s="30">
        <f>R16/U5*1000</f>
        <v>115.384615384615</v>
      </c>
    </row>
    <row r="6" ht="21" hidden="1" customHeight="1" spans="1:31">
      <c r="B6" s="16" t="s">
        <v>28</v>
      </c>
      <c r="C6" s="16" t="s">
        <v>67</v>
      </c>
      <c r="D6" s="25" t="s">
        <v>68</v>
      </c>
      <c r="E6" s="26" t="s">
        <v>69</v>
      </c>
      <c r="F6" s="16">
        <v>1650</v>
      </c>
      <c r="G6" s="16">
        <v>500</v>
      </c>
      <c r="H6" s="16">
        <f t="shared" si="0"/>
        <v>2150</v>
      </c>
      <c r="I6" s="16">
        <v>25700</v>
      </c>
      <c r="J6" s="16" t="s">
        <v>59</v>
      </c>
      <c r="N6" s="27" t="s">
        <v>27</v>
      </c>
      <c r="O6" s="27">
        <v>3</v>
      </c>
      <c r="P6" s="28">
        <v>3000</v>
      </c>
      <c r="Q6" s="27" t="s">
        <v>70</v>
      </c>
      <c r="R6" s="27">
        <v>65000</v>
      </c>
      <c r="S6" s="27">
        <v>130000</v>
      </c>
      <c r="T6" s="27">
        <v>41000</v>
      </c>
      <c r="U6" s="27">
        <v>180000</v>
      </c>
      <c r="V6" s="30">
        <f>R17/U6*1000</f>
        <v>111.111111111111</v>
      </c>
    </row>
    <row r="7" ht="21" customHeight="1" spans="1:31">
      <c r="B7" s="16" t="s">
        <v>28</v>
      </c>
      <c r="C7" s="16" t="s">
        <v>71</v>
      </c>
      <c r="D7" s="16" t="s">
        <v>72</v>
      </c>
      <c r="E7" s="26" t="s">
        <v>69</v>
      </c>
      <c r="F7" s="16">
        <v>2085</v>
      </c>
      <c r="G7" s="16">
        <v>0</v>
      </c>
      <c r="H7" s="16">
        <f t="shared" si="0"/>
        <v>2085</v>
      </c>
      <c r="I7" s="16">
        <v>20000</v>
      </c>
      <c r="J7" s="16">
        <v>500</v>
      </c>
      <c r="K7" s="16">
        <v>1</v>
      </c>
      <c r="L7" s="16">
        <v>1</v>
      </c>
      <c r="M7" s="16">
        <f>SUM(J7:J12)</f>
        <v>3700</v>
      </c>
      <c r="N7" s="27" t="s">
        <v>31</v>
      </c>
      <c r="O7" s="27">
        <v>4</v>
      </c>
      <c r="P7" s="28">
        <v>5000</v>
      </c>
      <c r="Q7" s="27" t="s">
        <v>73</v>
      </c>
      <c r="R7" s="27">
        <v>29000</v>
      </c>
      <c r="S7" s="27">
        <v>125000</v>
      </c>
      <c r="T7" s="27">
        <v>16000</v>
      </c>
      <c r="U7" s="27">
        <v>150000</v>
      </c>
      <c r="V7" s="30">
        <f>R18/U7*1000</f>
        <v>133.333333333333</v>
      </c>
    </row>
    <row r="8" ht="21" customHeight="1" spans="1:31">
      <c r="B8" s="16" t="s">
        <v>28</v>
      </c>
      <c r="C8" s="16" t="s">
        <v>74</v>
      </c>
      <c r="D8" s="16" t="s">
        <v>75</v>
      </c>
      <c r="E8" s="26" t="s">
        <v>69</v>
      </c>
      <c r="F8" s="16">
        <v>1140</v>
      </c>
      <c r="G8" s="16">
        <v>1000</v>
      </c>
      <c r="H8" s="16">
        <f t="shared" si="0"/>
        <v>2140</v>
      </c>
      <c r="I8" s="16">
        <v>55000</v>
      </c>
      <c r="J8" s="16">
        <v>800</v>
      </c>
      <c r="K8" s="16">
        <v>1</v>
      </c>
      <c r="L8" s="16">
        <v>1</v>
      </c>
      <c r="N8" s="27" t="s">
        <v>29</v>
      </c>
      <c r="O8" s="27">
        <v>1</v>
      </c>
      <c r="P8" s="28">
        <v>1000</v>
      </c>
      <c r="Q8" s="27" t="s">
        <v>76</v>
      </c>
      <c r="R8" s="27">
        <v>458000</v>
      </c>
      <c r="S8" s="27" t="s">
        <v>59</v>
      </c>
      <c r="T8" s="27">
        <v>257000</v>
      </c>
      <c r="U8" s="27" t="s">
        <v>59</v>
      </c>
      <c r="V8" s="30" t="s">
        <v>59</v>
      </c>
    </row>
    <row r="9" ht="21" customHeight="1" spans="1:31">
      <c r="B9" s="16" t="s">
        <v>28</v>
      </c>
      <c r="C9" s="16" t="s">
        <v>77</v>
      </c>
      <c r="D9" s="16" t="s">
        <v>78</v>
      </c>
      <c r="E9" s="26" t="s">
        <v>69</v>
      </c>
      <c r="F9" s="16">
        <v>1595</v>
      </c>
      <c r="G9" s="16">
        <v>1000</v>
      </c>
      <c r="H9" s="16">
        <f t="shared" si="0"/>
        <v>2595</v>
      </c>
      <c r="I9" s="16">
        <v>59000</v>
      </c>
      <c r="J9" s="16">
        <v>800</v>
      </c>
      <c r="K9" s="16">
        <v>1</v>
      </c>
      <c r="L9" s="16">
        <v>1</v>
      </c>
      <c r="N9" s="27" t="s">
        <v>33</v>
      </c>
      <c r="O9" s="27">
        <v>2</v>
      </c>
      <c r="P9" s="28">
        <v>1500</v>
      </c>
      <c r="Q9" s="27" t="s">
        <v>79</v>
      </c>
      <c r="R9" s="27">
        <v>38000</v>
      </c>
      <c r="S9" s="27">
        <v>90000</v>
      </c>
      <c r="T9" s="27">
        <v>26000</v>
      </c>
      <c r="U9" s="27">
        <v>100000</v>
      </c>
      <c r="V9" s="30">
        <f>R20/U9*1000</f>
        <v>150</v>
      </c>
    </row>
    <row r="10" ht="21" customHeight="1" spans="1:31">
      <c r="B10" s="16" t="s">
        <v>28</v>
      </c>
      <c r="C10" s="16" t="s">
        <v>80</v>
      </c>
      <c r="D10" s="16" t="s">
        <v>81</v>
      </c>
      <c r="E10" s="26" t="s">
        <v>69</v>
      </c>
      <c r="F10" s="16">
        <v>1090</v>
      </c>
      <c r="G10" s="16">
        <v>1000</v>
      </c>
      <c r="H10" s="16">
        <f t="shared" si="0"/>
        <v>2090</v>
      </c>
      <c r="I10" s="16">
        <v>56000</v>
      </c>
      <c r="J10" s="16">
        <v>800</v>
      </c>
      <c r="K10" s="16">
        <v>1</v>
      </c>
      <c r="L10" s="16">
        <v>1</v>
      </c>
      <c r="N10" s="27" t="s">
        <v>55</v>
      </c>
      <c r="O10" s="18"/>
      <c r="P10" s="28">
        <f>SUM(P3:P9)</f>
        <v>19300</v>
      </c>
      <c r="Q10" s="27"/>
      <c r="R10" s="27"/>
      <c r="S10" s="27"/>
      <c r="T10" s="27"/>
      <c r="U10" s="27"/>
      <c r="V10" s="29"/>
    </row>
    <row r="11" ht="21" hidden="1" customHeight="1" spans="1:31">
      <c r="B11" s="16" t="s">
        <v>28</v>
      </c>
      <c r="C11" s="16" t="s">
        <v>82</v>
      </c>
      <c r="D11" s="16" t="s">
        <v>83</v>
      </c>
      <c r="E11" s="26" t="s">
        <v>69</v>
      </c>
      <c r="F11" s="16">
        <v>1219</v>
      </c>
      <c r="G11" s="16">
        <v>1500</v>
      </c>
      <c r="H11" s="16">
        <f t="shared" si="0"/>
        <v>2719</v>
      </c>
      <c r="I11" s="16">
        <v>93200</v>
      </c>
      <c r="J11" s="16" t="s">
        <v>59</v>
      </c>
      <c r="P11" s="16">
        <f>9800+23600</f>
        <v>33400</v>
      </c>
    </row>
    <row r="12" ht="21" customHeight="1" spans="1:31">
      <c r="B12" s="16" t="s">
        <v>28</v>
      </c>
      <c r="C12" s="16" t="s">
        <v>84</v>
      </c>
      <c r="D12" s="16" t="s">
        <v>85</v>
      </c>
      <c r="E12" s="26" t="s">
        <v>69</v>
      </c>
      <c r="F12" s="16">
        <v>1411</v>
      </c>
      <c r="G12" s="16">
        <v>1000</v>
      </c>
      <c r="H12" s="16">
        <f t="shared" si="0"/>
        <v>2411</v>
      </c>
      <c r="I12" s="16">
        <v>54000</v>
      </c>
      <c r="J12" s="16">
        <v>800</v>
      </c>
      <c r="K12" s="16">
        <v>1</v>
      </c>
      <c r="L12" s="16">
        <v>1</v>
      </c>
      <c r="P12" s="16">
        <f>SUM(P10:P11)</f>
        <v>52700</v>
      </c>
      <c r="Q12" s="16">
        <f>P12/0.6</f>
        <v>87833.3333333333</v>
      </c>
    </row>
    <row r="13" ht="21" hidden="1" customHeight="1" spans="1:31">
      <c r="B13" s="16" t="s">
        <v>28</v>
      </c>
      <c r="C13" s="16" t="s">
        <v>80</v>
      </c>
      <c r="D13" s="16" t="s">
        <v>86</v>
      </c>
      <c r="E13" s="26" t="s">
        <v>69</v>
      </c>
      <c r="F13" s="16" t="s">
        <v>59</v>
      </c>
      <c r="G13" s="16" t="s">
        <v>59</v>
      </c>
      <c r="H13" s="16" t="s">
        <v>59</v>
      </c>
      <c r="I13" s="16">
        <v>90000</v>
      </c>
      <c r="J13" s="16">
        <v>0</v>
      </c>
      <c r="Q13" s="31" t="s">
        <v>2</v>
      </c>
      <c r="R13" s="32" t="s">
        <v>87</v>
      </c>
      <c r="S13" s="32" t="s">
        <v>88</v>
      </c>
    </row>
    <row r="14" ht="21" customHeight="1" spans="1:31">
      <c r="B14" s="16" t="s">
        <v>33</v>
      </c>
      <c r="C14" s="16" t="s">
        <v>71</v>
      </c>
      <c r="D14" s="16" t="s">
        <v>89</v>
      </c>
      <c r="E14" s="26" t="s">
        <v>69</v>
      </c>
      <c r="F14" s="16">
        <v>1765</v>
      </c>
      <c r="G14" s="16">
        <v>1000</v>
      </c>
      <c r="H14" s="16">
        <f t="shared" ref="H14:H19" si="1">F14+G14</f>
        <v>2765</v>
      </c>
      <c r="I14" s="16">
        <v>64000</v>
      </c>
      <c r="J14" s="16">
        <v>500</v>
      </c>
      <c r="K14" s="16">
        <v>1</v>
      </c>
      <c r="L14" s="16">
        <v>1</v>
      </c>
      <c r="Q14" s="27" t="s">
        <v>28</v>
      </c>
      <c r="R14" s="33">
        <v>18000</v>
      </c>
      <c r="S14" s="34">
        <v>120000</v>
      </c>
    </row>
    <row r="15" ht="21" customHeight="1" spans="1:31">
      <c r="B15" s="16" t="s">
        <v>33</v>
      </c>
      <c r="C15" s="16" t="s">
        <v>90</v>
      </c>
      <c r="D15" s="16" t="s">
        <v>91</v>
      </c>
      <c r="E15" s="26" t="s">
        <v>69</v>
      </c>
      <c r="F15" s="16">
        <v>2035</v>
      </c>
      <c r="G15" s="16">
        <v>500</v>
      </c>
      <c r="H15" s="16">
        <f t="shared" si="1"/>
        <v>2535</v>
      </c>
      <c r="I15" s="16">
        <v>30000</v>
      </c>
      <c r="J15" s="16">
        <v>1000</v>
      </c>
      <c r="K15" s="16">
        <v>1</v>
      </c>
      <c r="L15" s="16">
        <v>1</v>
      </c>
      <c r="Q15" s="27" t="s">
        <v>32</v>
      </c>
      <c r="R15" s="33">
        <v>18000</v>
      </c>
      <c r="S15" s="34">
        <v>120000</v>
      </c>
    </row>
    <row r="16" ht="21" customHeight="1" spans="1:31">
      <c r="B16" s="16" t="s">
        <v>32</v>
      </c>
      <c r="C16" s="16" t="s">
        <v>90</v>
      </c>
      <c r="D16" s="16" t="s">
        <v>92</v>
      </c>
      <c r="E16" s="26" t="s">
        <v>69</v>
      </c>
      <c r="F16" s="16">
        <v>1670</v>
      </c>
      <c r="G16" s="16">
        <v>500</v>
      </c>
      <c r="H16" s="16">
        <f t="shared" si="1"/>
        <v>2170</v>
      </c>
      <c r="I16" s="16">
        <v>9000</v>
      </c>
      <c r="J16" s="16">
        <v>800</v>
      </c>
      <c r="K16" s="16">
        <v>1</v>
      </c>
      <c r="L16" s="35">
        <v>1</v>
      </c>
      <c r="M16" s="16">
        <v>3100</v>
      </c>
      <c r="Q16" s="27" t="s">
        <v>30</v>
      </c>
      <c r="R16" s="33">
        <v>15000</v>
      </c>
      <c r="S16" s="34">
        <v>100000</v>
      </c>
    </row>
    <row r="17" ht="21" customHeight="1" spans="2:19">
      <c r="B17" s="16" t="s">
        <v>32</v>
      </c>
      <c r="C17" s="16" t="s">
        <v>93</v>
      </c>
      <c r="D17" s="16" t="s">
        <v>94</v>
      </c>
      <c r="E17" s="26" t="s">
        <v>69</v>
      </c>
      <c r="F17" s="16">
        <v>1670</v>
      </c>
      <c r="G17" s="16">
        <v>0</v>
      </c>
      <c r="H17" s="16">
        <f t="shared" si="1"/>
        <v>1670</v>
      </c>
      <c r="I17" s="16">
        <v>45000</v>
      </c>
      <c r="J17" s="16">
        <v>1500</v>
      </c>
      <c r="K17" s="16">
        <v>1</v>
      </c>
      <c r="L17" s="35">
        <v>1</v>
      </c>
      <c r="Q17" s="27" t="s">
        <v>27</v>
      </c>
      <c r="R17" s="33">
        <v>20000</v>
      </c>
      <c r="S17" s="34">
        <v>150000</v>
      </c>
    </row>
    <row r="18" ht="21" hidden="1" customHeight="1" spans="2:19">
      <c r="B18" s="36" t="s">
        <v>32</v>
      </c>
      <c r="C18" s="36" t="s">
        <v>64</v>
      </c>
      <c r="D18" s="36" t="s">
        <v>95</v>
      </c>
      <c r="E18" s="37" t="s">
        <v>58</v>
      </c>
      <c r="F18" s="36">
        <v>1110</v>
      </c>
      <c r="G18" s="36">
        <v>0</v>
      </c>
      <c r="H18" s="36">
        <f t="shared" si="1"/>
        <v>1110</v>
      </c>
      <c r="I18" s="36">
        <v>2000</v>
      </c>
      <c r="J18" s="36" t="s">
        <v>59</v>
      </c>
      <c r="K18" s="36"/>
      <c r="L18" s="36"/>
      <c r="M18" s="36" t="s">
        <v>96</v>
      </c>
      <c r="Q18" s="27" t="s">
        <v>31</v>
      </c>
      <c r="R18" s="33">
        <v>20000</v>
      </c>
      <c r="S18" s="34">
        <v>150000</v>
      </c>
    </row>
    <row r="19" ht="21" hidden="1" customHeight="1" spans="2:19">
      <c r="B19" s="36" t="s">
        <v>32</v>
      </c>
      <c r="C19" s="36" t="s">
        <v>61</v>
      </c>
      <c r="D19" s="36" t="s">
        <v>97</v>
      </c>
      <c r="E19" s="37" t="s">
        <v>58</v>
      </c>
      <c r="F19" s="36">
        <v>1110</v>
      </c>
      <c r="G19" s="36">
        <v>0</v>
      </c>
      <c r="H19" s="36">
        <f t="shared" si="1"/>
        <v>1110</v>
      </c>
      <c r="I19" s="36">
        <v>21000</v>
      </c>
      <c r="J19" s="36" t="s">
        <v>59</v>
      </c>
      <c r="K19" s="36"/>
      <c r="L19" s="36"/>
      <c r="M19" s="36" t="s">
        <v>96</v>
      </c>
      <c r="Q19" s="27" t="s">
        <v>29</v>
      </c>
      <c r="R19" s="33">
        <v>20000</v>
      </c>
      <c r="S19" s="34">
        <v>150000</v>
      </c>
    </row>
    <row r="20" ht="21" customHeight="1" spans="2:19">
      <c r="B20" s="16" t="s">
        <v>32</v>
      </c>
      <c r="C20" s="16" t="s">
        <v>98</v>
      </c>
      <c r="D20" s="25" t="s">
        <v>99</v>
      </c>
      <c r="E20" s="26" t="s">
        <v>69</v>
      </c>
      <c r="F20" s="16">
        <v>0</v>
      </c>
      <c r="G20" s="16">
        <v>1000</v>
      </c>
      <c r="H20" s="16">
        <v>1000</v>
      </c>
      <c r="I20" s="16">
        <v>55000</v>
      </c>
      <c r="J20" s="16">
        <v>800</v>
      </c>
      <c r="K20" s="16">
        <v>1</v>
      </c>
      <c r="L20" s="35">
        <v>1</v>
      </c>
      <c r="Q20" s="27" t="s">
        <v>33</v>
      </c>
      <c r="R20" s="33">
        <v>15000</v>
      </c>
      <c r="S20" s="34">
        <v>100000</v>
      </c>
    </row>
    <row r="21" ht="21" hidden="1" customHeight="1" spans="2:19">
      <c r="B21" s="16" t="s">
        <v>32</v>
      </c>
      <c r="C21" s="16" t="s">
        <v>100</v>
      </c>
      <c r="D21" s="16" t="s">
        <v>86</v>
      </c>
      <c r="E21" s="26" t="s">
        <v>58</v>
      </c>
      <c r="F21" s="16" t="s">
        <v>59</v>
      </c>
      <c r="G21" s="16" t="s">
        <v>59</v>
      </c>
      <c r="H21" s="16" t="s">
        <v>59</v>
      </c>
      <c r="I21" s="16" t="s">
        <v>59</v>
      </c>
      <c r="J21" s="16" t="s">
        <v>59</v>
      </c>
    </row>
    <row r="22" ht="21" hidden="1" customHeight="1" spans="2:19">
      <c r="B22" s="16" t="s">
        <v>30</v>
      </c>
      <c r="C22" s="16" t="s">
        <v>61</v>
      </c>
      <c r="D22" s="16" t="s">
        <v>101</v>
      </c>
      <c r="E22" s="26" t="s">
        <v>58</v>
      </c>
      <c r="F22" s="16">
        <v>1230</v>
      </c>
      <c r="G22" s="16">
        <v>0</v>
      </c>
      <c r="H22" s="16">
        <f>F22+G22</f>
        <v>1230</v>
      </c>
      <c r="I22" s="16">
        <v>5000</v>
      </c>
      <c r="J22" s="16" t="s">
        <v>59</v>
      </c>
    </row>
    <row r="23" ht="21" customHeight="1" spans="2:19">
      <c r="B23" s="16" t="s">
        <v>30</v>
      </c>
      <c r="C23" s="16" t="s">
        <v>102</v>
      </c>
      <c r="D23" s="16" t="s">
        <v>103</v>
      </c>
      <c r="E23" s="26" t="s">
        <v>69</v>
      </c>
      <c r="F23" s="16">
        <v>1269</v>
      </c>
      <c r="G23" s="16">
        <v>0</v>
      </c>
      <c r="H23" s="16">
        <f>F23+G23</f>
        <v>1269</v>
      </c>
      <c r="I23" s="16">
        <v>5000</v>
      </c>
      <c r="J23" s="16">
        <v>1000</v>
      </c>
      <c r="K23" s="16">
        <v>1</v>
      </c>
      <c r="L23" s="35">
        <v>1</v>
      </c>
      <c r="M23" s="16">
        <v>2000</v>
      </c>
    </row>
    <row r="24" ht="21" customHeight="1" spans="2:19">
      <c r="B24" s="16" t="s">
        <v>30</v>
      </c>
      <c r="C24" s="16" t="s">
        <v>104</v>
      </c>
      <c r="D24" s="16" t="s">
        <v>105</v>
      </c>
      <c r="E24" s="26" t="s">
        <v>69</v>
      </c>
      <c r="F24" s="16">
        <v>1506</v>
      </c>
      <c r="G24" s="16">
        <v>0</v>
      </c>
      <c r="H24" s="16">
        <f>F24+G24</f>
        <v>1506</v>
      </c>
      <c r="I24" s="16">
        <v>5000</v>
      </c>
      <c r="J24" s="16">
        <v>1000</v>
      </c>
      <c r="K24" s="16">
        <v>1</v>
      </c>
      <c r="L24" s="35">
        <v>1</v>
      </c>
    </row>
    <row r="25" ht="21" hidden="1" customHeight="1" spans="2:19">
      <c r="B25" s="36" t="s">
        <v>30</v>
      </c>
      <c r="C25" s="36" t="s">
        <v>64</v>
      </c>
      <c r="D25" s="36" t="s">
        <v>106</v>
      </c>
      <c r="E25" s="37" t="s">
        <v>58</v>
      </c>
      <c r="F25" s="36">
        <v>1180</v>
      </c>
      <c r="G25" s="36">
        <v>0</v>
      </c>
      <c r="H25" s="36">
        <f>F25+G25</f>
        <v>1180</v>
      </c>
      <c r="I25" s="36">
        <v>2000</v>
      </c>
      <c r="J25" s="36">
        <v>0</v>
      </c>
      <c r="K25" s="36"/>
      <c r="L25" s="36"/>
      <c r="M25" s="36" t="s">
        <v>96</v>
      </c>
    </row>
    <row r="26" ht="21" hidden="1" customHeight="1" spans="2:19">
      <c r="B26" s="16" t="s">
        <v>30</v>
      </c>
      <c r="C26" s="16" t="s">
        <v>107</v>
      </c>
      <c r="D26" s="16" t="s">
        <v>108</v>
      </c>
      <c r="E26" s="26" t="s">
        <v>69</v>
      </c>
      <c r="F26" s="16">
        <v>876</v>
      </c>
      <c r="G26" s="16">
        <v>1000</v>
      </c>
      <c r="H26" s="16">
        <f>F26+G26</f>
        <v>1876</v>
      </c>
      <c r="I26" s="16">
        <v>60000</v>
      </c>
      <c r="J26" s="16">
        <v>0</v>
      </c>
    </row>
    <row r="27" ht="21" hidden="1" customHeight="1" spans="2:19">
      <c r="B27" s="36" t="s">
        <v>29</v>
      </c>
      <c r="C27" s="36" t="s">
        <v>61</v>
      </c>
      <c r="D27" s="36" t="s">
        <v>109</v>
      </c>
      <c r="E27" s="37" t="s">
        <v>58</v>
      </c>
      <c r="F27" s="36">
        <v>2298</v>
      </c>
      <c r="G27" s="36" t="s">
        <v>59</v>
      </c>
      <c r="H27" s="36">
        <f t="shared" ref="H27:H33" si="2">SUM(F27:G27)</f>
        <v>2298</v>
      </c>
      <c r="I27" s="36">
        <v>24000</v>
      </c>
      <c r="J27" s="36" t="s">
        <v>59</v>
      </c>
      <c r="K27" s="36"/>
      <c r="L27" s="36"/>
      <c r="M27" s="36" t="s">
        <v>96</v>
      </c>
    </row>
    <row r="28" ht="21" customHeight="1" spans="2:19">
      <c r="B28" s="35" t="s">
        <v>29</v>
      </c>
      <c r="C28" s="16" t="s">
        <v>110</v>
      </c>
      <c r="D28" s="16" t="s">
        <v>111</v>
      </c>
      <c r="E28" s="26" t="s">
        <v>69</v>
      </c>
      <c r="F28" s="16">
        <v>2194</v>
      </c>
      <c r="G28" s="16">
        <v>1000</v>
      </c>
      <c r="H28" s="16">
        <f t="shared" si="2"/>
        <v>3194</v>
      </c>
      <c r="I28" s="16">
        <v>4000</v>
      </c>
      <c r="J28" s="16">
        <v>1000</v>
      </c>
      <c r="K28" s="35">
        <v>1</v>
      </c>
      <c r="L28" s="35">
        <v>1</v>
      </c>
    </row>
    <row r="29" ht="21" hidden="1" customHeight="1" spans="2:19">
      <c r="B29" s="16" t="s">
        <v>29</v>
      </c>
      <c r="C29" s="16" t="s">
        <v>56</v>
      </c>
      <c r="D29" s="16" t="s">
        <v>112</v>
      </c>
      <c r="E29" s="26" t="s">
        <v>58</v>
      </c>
      <c r="F29" s="16">
        <v>796</v>
      </c>
      <c r="G29" s="16" t="s">
        <v>59</v>
      </c>
      <c r="H29" s="16">
        <f t="shared" si="2"/>
        <v>796</v>
      </c>
      <c r="I29" s="16">
        <v>255000</v>
      </c>
      <c r="J29" s="16" t="s">
        <v>59</v>
      </c>
    </row>
    <row r="30" ht="21" hidden="1" customHeight="1" spans="2:19">
      <c r="B30" s="16" t="s">
        <v>29</v>
      </c>
      <c r="C30" s="16" t="s">
        <v>113</v>
      </c>
      <c r="D30" s="16" t="s">
        <v>114</v>
      </c>
      <c r="E30" s="26" t="s">
        <v>58</v>
      </c>
      <c r="F30" s="16">
        <v>1236</v>
      </c>
      <c r="G30" s="16" t="s">
        <v>59</v>
      </c>
      <c r="H30" s="16">
        <f t="shared" si="2"/>
        <v>1236</v>
      </c>
      <c r="I30" s="16">
        <v>352000</v>
      </c>
      <c r="J30" s="16" t="s">
        <v>59</v>
      </c>
    </row>
    <row r="31" ht="21" hidden="1" customHeight="1" spans="2:19">
      <c r="B31" s="16" t="s">
        <v>29</v>
      </c>
      <c r="C31" s="16" t="s">
        <v>115</v>
      </c>
      <c r="D31" s="16" t="s">
        <v>116</v>
      </c>
      <c r="E31" s="26" t="s">
        <v>58</v>
      </c>
      <c r="F31" s="16">
        <v>2082</v>
      </c>
      <c r="G31" s="16">
        <v>1000</v>
      </c>
      <c r="H31" s="16">
        <f t="shared" si="2"/>
        <v>3082</v>
      </c>
      <c r="I31" s="16">
        <v>62000</v>
      </c>
      <c r="J31" s="16" t="s">
        <v>59</v>
      </c>
    </row>
    <row r="32" ht="21" hidden="1" customHeight="1" spans="2:19">
      <c r="B32" s="16" t="s">
        <v>29</v>
      </c>
      <c r="C32" s="16" t="s">
        <v>117</v>
      </c>
      <c r="D32" s="16" t="s">
        <v>118</v>
      </c>
      <c r="E32" s="26" t="s">
        <v>69</v>
      </c>
      <c r="F32" s="16">
        <v>3274</v>
      </c>
      <c r="G32" s="16">
        <v>1000</v>
      </c>
      <c r="H32" s="16">
        <f t="shared" si="2"/>
        <v>4274</v>
      </c>
      <c r="I32" s="16">
        <v>64000</v>
      </c>
      <c r="J32" s="16" t="s">
        <v>59</v>
      </c>
    </row>
    <row r="33" ht="21" hidden="1" customHeight="1" spans="2:13">
      <c r="B33" s="16" t="s">
        <v>29</v>
      </c>
      <c r="C33" s="16" t="s">
        <v>119</v>
      </c>
      <c r="D33" s="16" t="s">
        <v>120</v>
      </c>
      <c r="E33" s="26" t="s">
        <v>69</v>
      </c>
      <c r="F33" s="16">
        <v>1595</v>
      </c>
      <c r="G33" s="16">
        <v>2500</v>
      </c>
      <c r="H33" s="16">
        <f t="shared" si="2"/>
        <v>4095</v>
      </c>
      <c r="I33" s="16">
        <v>127000</v>
      </c>
      <c r="J33" s="16" t="s">
        <v>59</v>
      </c>
    </row>
    <row r="34" ht="21" customHeight="1" spans="2:13">
      <c r="B34" s="35" t="s">
        <v>27</v>
      </c>
      <c r="C34" s="25" t="s">
        <v>74</v>
      </c>
      <c r="D34" s="16" t="s">
        <v>121</v>
      </c>
      <c r="E34" s="26" t="s">
        <v>69</v>
      </c>
      <c r="F34" s="16">
        <v>1140</v>
      </c>
      <c r="G34" s="16">
        <v>1000</v>
      </c>
      <c r="H34" s="16">
        <v>2140</v>
      </c>
      <c r="I34" s="16" t="s">
        <v>122</v>
      </c>
      <c r="J34" s="16">
        <v>1500</v>
      </c>
      <c r="K34" s="35">
        <v>1</v>
      </c>
      <c r="L34" s="35">
        <v>1</v>
      </c>
      <c r="M34" s="16">
        <v>3000</v>
      </c>
    </row>
    <row r="35" ht="21" hidden="1" customHeight="1" spans="2:13">
      <c r="B35" s="16" t="s">
        <v>27</v>
      </c>
      <c r="C35" s="16" t="s">
        <v>107</v>
      </c>
      <c r="D35" s="16" t="s">
        <v>123</v>
      </c>
      <c r="E35" s="26" t="s">
        <v>69</v>
      </c>
      <c r="F35" s="16">
        <v>2608</v>
      </c>
      <c r="G35" s="16">
        <v>1000</v>
      </c>
      <c r="H35" s="16">
        <v>3608</v>
      </c>
      <c r="I35" s="16" t="s">
        <v>124</v>
      </c>
      <c r="J35" s="16">
        <v>0</v>
      </c>
    </row>
    <row r="36" ht="21" customHeight="1" spans="2:13">
      <c r="B36" s="35" t="s">
        <v>27</v>
      </c>
      <c r="C36" s="16" t="s">
        <v>117</v>
      </c>
      <c r="D36" s="16" t="s">
        <v>125</v>
      </c>
      <c r="E36" s="26" t="s">
        <v>69</v>
      </c>
      <c r="F36" s="16">
        <v>3121</v>
      </c>
      <c r="G36" s="16">
        <v>1000</v>
      </c>
      <c r="H36" s="16">
        <v>4121</v>
      </c>
      <c r="I36" s="16" t="s">
        <v>126</v>
      </c>
      <c r="J36" s="16">
        <v>1500</v>
      </c>
      <c r="K36" s="35">
        <v>1</v>
      </c>
      <c r="L36" s="35">
        <v>1</v>
      </c>
    </row>
    <row r="37" ht="21" hidden="1" customHeight="1" spans="2:13">
      <c r="B37" s="16" t="s">
        <v>27</v>
      </c>
      <c r="C37" s="16" t="s">
        <v>127</v>
      </c>
      <c r="D37" t="s">
        <v>128</v>
      </c>
      <c r="E37" s="26" t="s">
        <v>58</v>
      </c>
      <c r="F37" s="16">
        <v>2461</v>
      </c>
      <c r="G37" s="16">
        <v>1000</v>
      </c>
      <c r="H37" s="16">
        <v>3461</v>
      </c>
      <c r="I37" s="16" t="s">
        <v>129</v>
      </c>
      <c r="J37" s="16" t="s">
        <v>59</v>
      </c>
    </row>
    <row r="38" ht="21" hidden="1" customHeight="1" spans="2:13">
      <c r="B38" s="16" t="s">
        <v>31</v>
      </c>
      <c r="C38" s="16" t="s">
        <v>130</v>
      </c>
      <c r="D38" s="25" t="s">
        <v>131</v>
      </c>
      <c r="E38" s="26" t="s">
        <v>58</v>
      </c>
      <c r="F38" s="16">
        <v>2215</v>
      </c>
      <c r="G38" s="16" t="s">
        <v>59</v>
      </c>
      <c r="H38" s="16">
        <v>2215</v>
      </c>
      <c r="I38" s="16">
        <v>5000</v>
      </c>
      <c r="J38" s="16" t="s">
        <v>59</v>
      </c>
      <c r="M38" s="16" t="s">
        <v>96</v>
      </c>
    </row>
    <row r="39" ht="21" customHeight="1" spans="2:13">
      <c r="B39" s="35" t="s">
        <v>31</v>
      </c>
      <c r="C39" s="16" t="s">
        <v>56</v>
      </c>
      <c r="D39" s="25" t="s">
        <v>132</v>
      </c>
      <c r="E39" s="26" t="s">
        <v>69</v>
      </c>
      <c r="F39" s="16">
        <v>2495</v>
      </c>
      <c r="G39" s="16" t="s">
        <v>59</v>
      </c>
      <c r="H39" s="16">
        <v>2495</v>
      </c>
      <c r="I39" s="16">
        <v>5000</v>
      </c>
      <c r="J39" s="38">
        <v>1000</v>
      </c>
      <c r="K39" s="35">
        <v>1</v>
      </c>
      <c r="L39" s="35">
        <v>1</v>
      </c>
      <c r="M39" s="16">
        <v>7000</v>
      </c>
    </row>
    <row r="40" ht="21" customHeight="1" spans="2:13">
      <c r="B40" s="35" t="s">
        <v>31</v>
      </c>
      <c r="C40" s="16" t="s">
        <v>133</v>
      </c>
      <c r="D40" s="25" t="s">
        <v>134</v>
      </c>
      <c r="E40" s="26" t="s">
        <v>69</v>
      </c>
      <c r="F40" s="16">
        <v>2264</v>
      </c>
      <c r="G40" s="16">
        <v>0</v>
      </c>
      <c r="H40" s="16">
        <v>2264</v>
      </c>
      <c r="I40" s="16">
        <v>5000</v>
      </c>
      <c r="J40" s="38">
        <v>2000</v>
      </c>
      <c r="K40" s="35">
        <v>1</v>
      </c>
      <c r="L40" s="35">
        <v>1</v>
      </c>
    </row>
    <row r="41" ht="21" hidden="1" customHeight="1" spans="2:13">
      <c r="B41" s="16" t="s">
        <v>31</v>
      </c>
      <c r="C41" s="16" t="s">
        <v>135</v>
      </c>
      <c r="D41" s="16" t="s">
        <v>86</v>
      </c>
      <c r="E41" s="26" t="s">
        <v>69</v>
      </c>
      <c r="F41" s="16">
        <v>2000</v>
      </c>
      <c r="G41" s="16">
        <v>0</v>
      </c>
      <c r="H41" s="16">
        <v>2033</v>
      </c>
      <c r="I41" s="16">
        <v>100000</v>
      </c>
      <c r="J41" s="16">
        <v>0</v>
      </c>
    </row>
    <row r="42" ht="21" hidden="1" customHeight="1" spans="2:13">
      <c r="B42" s="16" t="s">
        <v>31</v>
      </c>
      <c r="C42" s="16" t="s">
        <v>136</v>
      </c>
      <c r="D42" s="39" t="s">
        <v>137</v>
      </c>
      <c r="E42" s="26" t="s">
        <v>69</v>
      </c>
      <c r="F42" s="16">
        <v>900</v>
      </c>
      <c r="G42" s="16">
        <v>2000</v>
      </c>
      <c r="H42" s="16">
        <v>2033</v>
      </c>
      <c r="I42" s="16">
        <v>120000</v>
      </c>
      <c r="J42" s="16" t="s">
        <v>59</v>
      </c>
    </row>
    <row r="43" ht="21" customHeight="1" spans="2:13">
      <c r="B43" s="38" t="s">
        <v>31</v>
      </c>
      <c r="C43" s="16" t="s">
        <v>138</v>
      </c>
      <c r="D43" s="16" t="s">
        <v>139</v>
      </c>
      <c r="E43" s="26" t="s">
        <v>69</v>
      </c>
      <c r="F43" s="16">
        <v>1620</v>
      </c>
      <c r="G43" s="16">
        <v>0</v>
      </c>
      <c r="H43" s="16">
        <v>2033</v>
      </c>
      <c r="I43" s="16">
        <v>5000</v>
      </c>
      <c r="J43" s="38">
        <v>2000</v>
      </c>
      <c r="K43" s="38">
        <v>1</v>
      </c>
      <c r="L43" s="35">
        <v>1</v>
      </c>
    </row>
    <row r="44" ht="21" customHeight="1" spans="2:13">
      <c r="E44" s="26"/>
    </row>
    <row r="45" ht="21" customHeight="1" spans="2:13">
      <c r="E45" s="26"/>
    </row>
    <row r="46" ht="21" customHeight="1" spans="2:13">
      <c r="E46" s="26"/>
    </row>
    <row r="47" ht="21" customHeight="1" spans="2:13">
      <c r="E47" s="26"/>
    </row>
    <row r="48" ht="21" customHeight="1" spans="2:13">
      <c r="E48" s="26"/>
    </row>
    <row r="49" ht="21" customHeight="1" spans="5:5">
      <c r="E49" s="26"/>
    </row>
    <row r="50" ht="21" customHeight="1" spans="5:5">
      <c r="E50" s="26"/>
    </row>
    <row r="51" ht="21" customHeight="1" spans="5:5">
      <c r="E51" s="26"/>
    </row>
    <row r="52" ht="21" customHeight="1" spans="5:5">
      <c r="E52" s="26"/>
    </row>
    <row r="53" ht="21" customHeight="1" spans="5:5">
      <c r="E53" s="26"/>
    </row>
    <row r="54" ht="21" customHeight="1" spans="5:5">
      <c r="E54" s="26"/>
    </row>
    <row r="55" ht="21" customHeight="1" spans="5:5">
      <c r="E55" s="26"/>
    </row>
    <row r="56" ht="21" customHeight="1" spans="5:5">
      <c r="E56" s="26"/>
    </row>
    <row r="57" ht="21" customHeight="1" spans="5:5">
      <c r="E57" s="26"/>
    </row>
    <row r="58" ht="21" customHeight="1" spans="5:5">
      <c r="E58" s="26"/>
    </row>
    <row r="59" ht="21" customHeight="1" spans="5:5">
      <c r="E59" s="26"/>
    </row>
    <row r="60" ht="21" customHeight="1" spans="5:5">
      <c r="E60" s="26"/>
    </row>
    <row r="61" ht="21" customHeight="1" spans="5:5">
      <c r="E61" s="26"/>
    </row>
    <row r="62" ht="21" customHeight="1" spans="5:5">
      <c r="E62" s="26"/>
    </row>
    <row r="63" ht="21" customHeight="1" spans="5:5">
      <c r="E63" s="26"/>
    </row>
    <row r="64" ht="21" customHeight="1" spans="5:5">
      <c r="E64" s="26"/>
    </row>
    <row r="65" ht="21" customHeight="1" spans="5:5">
      <c r="E65" s="26"/>
    </row>
    <row r="66" ht="21" customHeight="1" spans="5:5">
      <c r="E66" s="26"/>
    </row>
    <row r="67" ht="21" customHeight="1" spans="5:5">
      <c r="E67" s="26"/>
    </row>
    <row r="68" ht="21" customHeight="1" spans="5:5">
      <c r="E68" s="26"/>
    </row>
    <row r="69" ht="21" customHeight="1" spans="5:5">
      <c r="E69" s="26"/>
    </row>
    <row r="70" ht="21" customHeight="1" spans="5:5">
      <c r="E70" s="26"/>
    </row>
    <row r="71" ht="21" customHeight="1" spans="5:5">
      <c r="E71" s="26"/>
    </row>
    <row r="72" ht="21" customHeight="1" spans="5:5">
      <c r="E72" s="26"/>
    </row>
    <row r="73" ht="21" customHeight="1" spans="5:5">
      <c r="E73" s="26"/>
    </row>
    <row r="74" ht="21" customHeight="1" spans="5:5">
      <c r="E74" s="26"/>
    </row>
    <row r="75" ht="21" customHeight="1" spans="5:5">
      <c r="E75" s="26"/>
    </row>
    <row r="76" ht="21" customHeight="1" spans="5:5">
      <c r="E76" s="26"/>
    </row>
    <row r="77" ht="21" customHeight="1" spans="5:5">
      <c r="E77" s="26"/>
    </row>
    <row r="78" ht="21" customHeight="1" spans="5:5">
      <c r="E78" s="26"/>
    </row>
    <row r="79" ht="21" customHeight="1" spans="5:5">
      <c r="E79" s="26"/>
    </row>
    <row r="80" ht="21" customHeight="1" spans="5:5">
      <c r="E80" s="26"/>
    </row>
    <row r="81" ht="21" customHeight="1" spans="5:5">
      <c r="E81" s="26"/>
    </row>
    <row r="82" ht="21" customHeight="1" spans="5:5">
      <c r="E82" s="26"/>
    </row>
    <row r="83" ht="21" customHeight="1" spans="5:5">
      <c r="E83" s="26"/>
    </row>
    <row r="84" ht="21" customHeight="1" spans="5:5">
      <c r="E84" s="26"/>
    </row>
    <row r="85" ht="21" customHeight="1" spans="5:5">
      <c r="E85" s="26"/>
    </row>
    <row r="86" ht="21" customHeight="1" spans="5:5">
      <c r="E86" s="26"/>
    </row>
    <row r="87" spans="5:5">
      <c r="E87" s="26"/>
    </row>
    <row r="88" spans="5:5">
      <c r="E88" s="26"/>
    </row>
    <row r="89" spans="5:5">
      <c r="E89" s="26"/>
    </row>
    <row r="90" spans="5:5">
      <c r="E90" s="26"/>
    </row>
    <row r="91" spans="5:5">
      <c r="E91" s="40"/>
    </row>
    <row r="92" spans="5:5">
      <c r="E92" s="40"/>
    </row>
    <row r="93" spans="5:5">
      <c r="E93" s="40"/>
    </row>
    <row r="94" spans="5:5">
      <c r="E94" s="40"/>
    </row>
    <row r="95" spans="5:5">
      <c r="E95" s="40"/>
    </row>
    <row r="96" spans="5:5">
      <c r="E96" s="40"/>
    </row>
    <row r="97" spans="5:5">
      <c r="E97" s="40"/>
    </row>
    <row r="98" spans="5:5">
      <c r="E98" s="40"/>
    </row>
    <row r="99" spans="5:5">
      <c r="E99" s="40"/>
    </row>
    <row r="100" spans="5:5">
      <c r="E100" s="40"/>
    </row>
    <row r="101" spans="5:5">
      <c r="E101" s="40"/>
    </row>
    <row r="102" spans="5:5">
      <c r="E102" s="40"/>
    </row>
    <row r="103" spans="5:5">
      <c r="E103" s="40"/>
    </row>
    <row r="104" spans="5:5">
      <c r="E104" s="40"/>
    </row>
    <row r="105" spans="5:5">
      <c r="E105" s="40"/>
    </row>
    <row r="106" spans="5:5">
      <c r="E106" s="40"/>
    </row>
    <row r="107" spans="5:5">
      <c r="E107" s="40"/>
    </row>
    <row r="108" spans="5:5">
      <c r="E108" s="40"/>
    </row>
    <row r="109" spans="5:5">
      <c r="E109" s="40"/>
    </row>
    <row r="110" spans="5:5">
      <c r="E110" s="40"/>
    </row>
    <row r="111" spans="5:5">
      <c r="E111" s="40"/>
    </row>
    <row r="112" spans="5:5">
      <c r="E112" s="40"/>
    </row>
    <row r="113" spans="5:5">
      <c r="E113" s="40"/>
    </row>
    <row r="114" spans="5:5">
      <c r="E114" s="40"/>
    </row>
    <row r="115" spans="5:5">
      <c r="E115" s="40"/>
    </row>
    <row r="116" spans="5:5">
      <c r="E116" s="40"/>
    </row>
    <row r="117" spans="5:5">
      <c r="E117" s="40"/>
    </row>
    <row r="118" spans="5:5">
      <c r="E118" s="40"/>
    </row>
    <row r="119" spans="5:5">
      <c r="E119" s="40"/>
    </row>
    <row r="120" spans="5:5">
      <c r="E120" s="40"/>
    </row>
    <row r="121" spans="5:5">
      <c r="E121" s="40"/>
    </row>
    <row r="122" spans="5:5">
      <c r="E122" s="40"/>
    </row>
    <row r="123" spans="5:5">
      <c r="E123" s="40"/>
    </row>
    <row r="124" spans="5:5">
      <c r="E124" s="40"/>
    </row>
    <row r="125" spans="5:5">
      <c r="E125" s="40"/>
    </row>
    <row r="126" spans="5:5">
      <c r="E126" s="40"/>
    </row>
    <row r="127" spans="5:5">
      <c r="E127" s="40"/>
    </row>
    <row r="128" spans="5:5">
      <c r="E128" s="40"/>
    </row>
    <row r="129" spans="5:5">
      <c r="E129" s="40"/>
    </row>
    <row r="130" spans="5:5">
      <c r="E130" s="40"/>
    </row>
    <row r="131" spans="5:5">
      <c r="E131" s="40"/>
    </row>
    <row r="132" spans="5:5">
      <c r="E132" s="40"/>
    </row>
    <row r="133" spans="5:5">
      <c r="E133" s="40"/>
    </row>
    <row r="134" spans="5:5">
      <c r="E134" s="40"/>
    </row>
    <row r="135" spans="5:5">
      <c r="E135" s="40"/>
    </row>
    <row r="136" spans="5:5">
      <c r="E136" s="40"/>
    </row>
    <row r="137" spans="5:5">
      <c r="E137" s="40"/>
    </row>
    <row r="138" spans="5:5">
      <c r="E138" s="40"/>
    </row>
    <row r="139" spans="5:5">
      <c r="E139" s="40"/>
    </row>
    <row r="140" spans="5:5">
      <c r="E140" s="40"/>
    </row>
    <row r="141" spans="5:5">
      <c r="E141" s="40"/>
    </row>
    <row r="142" spans="5:5">
      <c r="E142" s="40"/>
    </row>
    <row r="143" spans="5:5">
      <c r="E143" s="40"/>
    </row>
    <row r="144" spans="5:5">
      <c r="E144" s="40"/>
    </row>
    <row r="145" spans="5:5">
      <c r="E145" s="40"/>
    </row>
    <row r="146" spans="5:5">
      <c r="E146" s="40"/>
    </row>
    <row r="147" spans="5:5">
      <c r="E147" s="40"/>
    </row>
    <row r="148" spans="5:5">
      <c r="E148" s="40"/>
    </row>
    <row r="149" spans="5:5">
      <c r="E149" s="40"/>
    </row>
    <row r="150" spans="5:5">
      <c r="E150" s="40"/>
    </row>
    <row r="151" spans="5:5">
      <c r="E151" s="40"/>
    </row>
    <row r="152" spans="5:5">
      <c r="E152" s="40"/>
    </row>
    <row r="153" spans="5:5">
      <c r="E153" s="40"/>
    </row>
    <row r="154" spans="5:5">
      <c r="E154" s="40"/>
    </row>
    <row r="155" spans="5:5">
      <c r="E155" s="40"/>
    </row>
    <row r="156" spans="5:5">
      <c r="E156" s="40"/>
    </row>
    <row r="157" spans="5:5">
      <c r="E157" s="40"/>
    </row>
    <row r="158" spans="5:5">
      <c r="E158" s="40"/>
    </row>
    <row r="159" spans="5:5">
      <c r="E159" s="40"/>
    </row>
    <row r="160" spans="5:5">
      <c r="E160" s="40"/>
    </row>
    <row r="161" spans="5:5">
      <c r="E161" s="40"/>
    </row>
    <row r="162" spans="5:5">
      <c r="E162" s="40"/>
    </row>
    <row r="163" spans="5:5">
      <c r="E163" s="40"/>
    </row>
    <row r="164" spans="5:5">
      <c r="E164" s="40"/>
    </row>
    <row r="165" spans="5:5">
      <c r="E165" s="40"/>
    </row>
    <row r="166" spans="5:5">
      <c r="E166" s="40"/>
    </row>
    <row r="167" spans="5:5">
      <c r="E167" s="40"/>
    </row>
    <row r="168" spans="5:5">
      <c r="E168" s="40"/>
    </row>
    <row r="169" spans="5:5">
      <c r="E169" s="40"/>
    </row>
    <row r="170" spans="5:5">
      <c r="E170" s="40"/>
    </row>
    <row r="171" spans="5:5">
      <c r="E171" s="40"/>
    </row>
    <row r="172" spans="5:5">
      <c r="E172" s="40"/>
    </row>
    <row r="173" spans="5:5">
      <c r="E173" s="40"/>
    </row>
    <row r="174" spans="5:5">
      <c r="E174" s="40"/>
    </row>
    <row r="175" spans="5:5">
      <c r="E175" s="40"/>
    </row>
    <row r="176" spans="5:5">
      <c r="E176" s="40"/>
    </row>
    <row r="177" spans="5:5">
      <c r="E177" s="40"/>
    </row>
    <row r="178" spans="5:5">
      <c r="E178" s="40"/>
    </row>
    <row r="179" spans="5:5">
      <c r="E179" s="40"/>
    </row>
    <row r="180" spans="5:5">
      <c r="E180" s="40"/>
    </row>
    <row r="181" spans="5:5">
      <c r="E181" s="40"/>
    </row>
    <row r="182" spans="5:5">
      <c r="E182" s="40"/>
    </row>
    <row r="183" spans="5:5">
      <c r="E183" s="40"/>
    </row>
    <row r="184" spans="5:5">
      <c r="E184" s="40"/>
    </row>
    <row r="185" spans="5:5">
      <c r="E185" s="40"/>
    </row>
    <row r="186" spans="5:5">
      <c r="E186" s="40"/>
    </row>
    <row r="187" spans="5:5">
      <c r="E187" s="40"/>
    </row>
    <row r="188" spans="5:5">
      <c r="E188" s="40"/>
    </row>
    <row r="189" spans="5:5">
      <c r="E189" s="40"/>
    </row>
    <row r="190" spans="5:5">
      <c r="E190" s="40"/>
    </row>
    <row r="191" spans="5:5">
      <c r="E191" s="40"/>
    </row>
    <row r="192" spans="5:5">
      <c r="E192" s="40"/>
    </row>
    <row r="193" spans="5:5">
      <c r="E193" s="40"/>
    </row>
    <row r="194" spans="5:5">
      <c r="E194" s="40"/>
    </row>
    <row r="195" spans="5:5">
      <c r="E195" s="40"/>
    </row>
    <row r="196" spans="5:5">
      <c r="E196" s="40"/>
    </row>
    <row r="197" spans="5:5">
      <c r="E197" s="40"/>
    </row>
    <row r="198" spans="5:5">
      <c r="E198" s="40"/>
    </row>
    <row r="199" spans="5:5">
      <c r="E199" s="40"/>
    </row>
    <row r="200" spans="5:5">
      <c r="E200" s="40"/>
    </row>
    <row r="201" spans="5:5">
      <c r="E201" s="40"/>
    </row>
    <row r="202" spans="5:5">
      <c r="E202" s="40"/>
    </row>
    <row r="203" spans="5:5">
      <c r="E203" s="40"/>
    </row>
    <row r="204" spans="5:5">
      <c r="E204" s="40"/>
    </row>
    <row r="205" spans="5:5">
      <c r="E205" s="40"/>
    </row>
    <row r="206" spans="5:5">
      <c r="E206" s="40"/>
    </row>
    <row r="207" spans="5:5">
      <c r="E207" s="40"/>
    </row>
    <row r="208" spans="5:5">
      <c r="E208" s="40"/>
    </row>
    <row r="209" spans="5:5">
      <c r="E209" s="40"/>
    </row>
    <row r="210" spans="5:5">
      <c r="E210" s="40"/>
    </row>
    <row r="211" spans="5:5">
      <c r="E211" s="40"/>
    </row>
    <row r="212" spans="5:5">
      <c r="E212" s="40"/>
    </row>
    <row r="213" spans="5:5">
      <c r="E213" s="40"/>
    </row>
  </sheetData>
  <autoFilter xmlns:etc="http://www.wps.cn/officeDocument/2017/etCustomData" ref="A1:V43" etc:filterBottomFollowUsedRange="0">
    <filterColumn colId="9">
      <filters>
        <filter val="500"/>
        <filter val="800"/>
        <filter val="1000"/>
        <filter val="1500"/>
        <filter val="2000"/>
      </filters>
    </filterColumn>
    <extLst/>
  </autoFilter>
  <mergeCells count="18">
    <mergeCell ref="F1:H1"/>
    <mergeCell ref="N10:O10"/>
    <mergeCell ref="A1:A2"/>
    <mergeCell ref="B1:B2"/>
    <mergeCell ref="C1:C2"/>
    <mergeCell ref="D1:D2"/>
    <mergeCell ref="E1:E2"/>
    <mergeCell ref="I1:I2"/>
    <mergeCell ref="J1:J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dataValidations count="1">
    <dataValidation type="list" allowBlank="1" showInputMessage="1" showErrorMessage="1" sqref="E3:E1048576">
      <formula1>"是,否,"</formula1>
    </dataValidation>
  </dataValidations>
  <hyperlinks>
    <hyperlink ref="D3" r:id="rId1" display="https://v.douyin.com/O_y6EZe7Pxc/"/>
    <hyperlink ref="D4" r:id="rId2" display="https://v.douyin.com/bBaFptMb0cI/"/>
    <hyperlink ref="D5" r:id="rId3" display="https://v.douyin.com/_YVsx0qkLhY/"/>
    <hyperlink ref="D6" r:id="rId4" display="https://v.douyin.com/PXOEqRrTTWE/"/>
    <hyperlink ref="D7" r:id="rId5" display="https://v.douyin.com/QBFbHgS_qzs/"/>
    <hyperlink ref="D8" r:id="rId6" display="https://v.douyin.com/Qpj1irNXt2o/"/>
    <hyperlink ref="D9" r:id="rId7" display="https://v.douyin.com/balqG0MdVto/"/>
    <hyperlink ref="D10" r:id="rId8" display="https://v.douyin.com/sddgZUvHCH8/"/>
    <hyperlink ref="D11" r:id="rId9" display="https://v.douyin.com/QU_a6-qEFSc/"/>
    <hyperlink ref="D12" r:id="rId10" display="https://v.douyin.com/sJElyt9DQsk/"/>
    <hyperlink ref="D14" r:id="rId11" display="https://v.douyin.com/Ypf3z8VOGM4/"/>
    <hyperlink ref="D15" r:id="rId12" display="https://v.douyin.com/QHOABaZ8XpY/"/>
    <hyperlink ref="D16" r:id="rId13" display="https://v.douyin.com/0K55vTkPf80/"/>
    <hyperlink ref="D17" r:id="rId14" display="https://v.douyin.com/o3WY-D0i2SU"/>
    <hyperlink ref="D18" r:id="rId15" display="https://v.douyin.com/LMBUS2mv5nQ/"/>
    <hyperlink ref="D19" r:id="rId16" display="https://v.douyin.com/nWTl7vI_tXs/"/>
    <hyperlink ref="D20" r:id="rId17" display=" https://v.douyin.com/tT8IDZkGMz0/ "/>
    <hyperlink ref="D22" r:id="rId18" display="https://v.douyin.com/OMuv4vkQCnM/ "/>
    <hyperlink ref="D23" r:id="rId19" display="https://v.douyin.com/PkAgFU-6NMY/"/>
    <hyperlink ref="D24" r:id="rId20" display="https://v.douyin.com/CKkb6Tnx8kY/"/>
    <hyperlink ref="D25" r:id="rId21" display="https://v.douyin.com/1_t7DAMMbt0/"/>
    <hyperlink ref="D26" r:id="rId22" display="https://v.douyin.com/-l8PolKZPYw/"/>
    <hyperlink ref="D27" r:id="rId23" display="https://v.douyin.com/xWO7974UPpc/"/>
    <hyperlink ref="D28" r:id="rId24" display="https://v.douyin.com/thvS9L2IReA/ "/>
    <hyperlink ref="D29" r:id="rId25" display="https://v.douyin.com/aanjCgBObrI/"/>
    <hyperlink ref="D30" r:id="rId26" display="https://v.douyin.com/DNbu9Uasf6o/ "/>
    <hyperlink ref="D31" r:id="rId27" display="https://v.douyin.com/KJaISoIxLbU/"/>
    <hyperlink ref="D32" r:id="rId28" display="https://v.douyin.com/Ct9hnyrL9Uc/"/>
    <hyperlink ref="D33" r:id="rId29" display="https://v.douyin.com/3hiHS1_T408/"/>
    <hyperlink ref="D34" r:id="rId30" display="https://v.douyin.com/XbgCixFkm3o/"/>
    <hyperlink ref="D35" r:id="rId31" display="https://v.douyin.com/16ZUpOdgoAs/"/>
    <hyperlink ref="D36" r:id="rId32" display="https://v.douyin.com/EzilU_chRrE/"/>
    <hyperlink ref="D37" r:id="rId33" display="https://v.douyin.com/v4bqWZel5Qc/"/>
    <hyperlink ref="D38" r:id="rId34" display="https://v.douyin.com/yACJcyK96A4/"/>
    <hyperlink ref="D39" r:id="rId35" display="https://v.douyin.com/ngKT1OYusH4/"/>
    <hyperlink ref="D40" r:id="rId36" display="https://v.douyin.com/ZnWPfsIG9XU/"/>
    <hyperlink ref="D42" r:id="rId37" display="https://v.douyin.com/UhPgGSyTbak/"/>
    <hyperlink ref="D43" r:id="rId38" display="https://v.douyin.com/oywc2rq4MRI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A47B"/>
  </sheetPr>
  <dimension ref="A1:Z51"/>
  <sheetViews>
    <sheetView showGridLines="0" tabSelected="1" workbookViewId="0">
      <selection activeCell="I22" sqref="I22:I23"/>
    </sheetView>
  </sheetViews>
  <sheetFormatPr defaultColWidth="9" defaultRowHeight="15.2"/>
  <cols>
    <col min="1" max="1" width="16" customWidth="1"/>
    <col min="2" max="3" width="12" customWidth="1"/>
    <col min="4" max="4" width="10" customWidth="1"/>
    <col min="5" max="5" width="12" customWidth="1"/>
    <col min="6" max="6" width="14" customWidth="1"/>
    <col min="7" max="7" width="16" customWidth="1"/>
    <col min="8" max="8" width="12" customWidth="1"/>
    <col min="9" max="9" width="10" customWidth="1"/>
    <col min="10" max="12" width="8" customWidth="1"/>
    <col min="13" max="13" width="12" customWidth="1"/>
    <col min="14" max="14" width="13" customWidth="1"/>
    <col min="15" max="15" width="15.7115384615385" customWidth="1"/>
    <col min="16" max="16" width="13" customWidth="1"/>
    <col min="17" max="17" width="16.1826923076923" customWidth="1"/>
    <col min="18" max="18" width="13" customWidth="1"/>
    <col min="19" max="19" width="14" customWidth="1"/>
    <col min="20" max="20" width="12" customWidth="1"/>
    <col min="21" max="21" width="38" customWidth="1"/>
  </cols>
  <sheetData>
    <row r="1" ht="72" customHeight="1" spans="1:26">
      <c r="A1" s="4" t="s">
        <v>140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</row>
    <row r="2" ht="14" customHeight="1" spans="1:26">
      <c r="A2" s="3" t="s">
        <v>141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" customHeight="1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" customHeight="1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8" customHeight="1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9" customHeight="1"/>
    <row r="9" ht="54" customHeight="1" spans="1:26">
      <c r="A9" s="1" t="s">
        <v>2</v>
      </c>
      <c r="B9" s="7" t="s">
        <v>142</v>
      </c>
      <c r="C9" s="7" t="s">
        <v>143</v>
      </c>
      <c r="D9" s="1" t="s">
        <v>144</v>
      </c>
      <c r="E9" s="8" t="s">
        <v>145</v>
      </c>
      <c r="F9" s="9" t="s">
        <v>146</v>
      </c>
      <c r="G9" s="1" t="s">
        <v>147</v>
      </c>
      <c r="H9" s="9" t="s">
        <v>148</v>
      </c>
      <c r="I9" s="9" t="s">
        <v>149</v>
      </c>
      <c r="J9" s="1" t="s">
        <v>150</v>
      </c>
      <c r="K9" s="1" t="s">
        <v>151</v>
      </c>
      <c r="L9" s="1" t="s">
        <v>152</v>
      </c>
      <c r="M9" s="1" t="s">
        <v>153</v>
      </c>
      <c r="N9" s="1" t="s">
        <v>154</v>
      </c>
      <c r="O9" s="1" t="s">
        <v>155</v>
      </c>
      <c r="P9" s="9" t="s">
        <v>156</v>
      </c>
      <c r="Q9" s="9" t="s">
        <v>157</v>
      </c>
      <c r="R9" s="9" t="s">
        <v>158</v>
      </c>
      <c r="S9" s="9" t="s">
        <v>159</v>
      </c>
      <c r="T9" s="1" t="s">
        <v>160</v>
      </c>
      <c r="U9" s="1" t="s">
        <v>161</v>
      </c>
    </row>
    <row r="10" ht="22" customHeight="1" spans="1:26">
      <c r="A10" s="2" t="s">
        <v>162</v>
      </c>
      <c r="B10" s="10">
        <v>6000</v>
      </c>
      <c r="C10" s="10">
        <v>3600</v>
      </c>
      <c r="D10" s="2" t="s">
        <v>163</v>
      </c>
      <c r="E10" s="10">
        <f>(C10)*(1)</f>
        <v>3600</v>
      </c>
      <c r="F10" s="11">
        <f>ROUNDUP(B10*维护参数!$B$11/维护参数!$B$12*1000,0)</f>
        <v>220000</v>
      </c>
      <c r="G10" s="2" t="s">
        <v>164</v>
      </c>
      <c r="H10" s="12">
        <f>(MAX(维护参数!$B$4,ROUNDUP(F10/10000,0)))*(维护参数!$B$2)</f>
        <v>462</v>
      </c>
      <c r="I10" s="13">
        <f>ROUNDUP(B10*维护参数!$B$16/维护参数!$B$15/1000,0)*1000</f>
        <v>12000</v>
      </c>
      <c r="J10" s="13">
        <f>ROUNDUP(B10*维护参数!$B$17/维护参数!$B$15/10,0)*10</f>
        <v>120</v>
      </c>
      <c r="K10" s="13">
        <f>ROUNDUP(B10*维护参数!$B$18/维护参数!$B$15/10,0)*10</f>
        <v>120</v>
      </c>
      <c r="L10" s="13">
        <f>ROUNDUP(B10*维护参数!$B$19/维护参数!$B$15/10,0)*10</f>
        <v>180</v>
      </c>
      <c r="M10" s="12">
        <f>I10/1000*维护参数!$B$6+J10*维护参数!$B$7+K10*维护参数!$B$8+L10*维护参数!$B$9</f>
        <v>864</v>
      </c>
      <c r="N10" s="12">
        <f>SUM(H10,M10)</f>
        <v>1326</v>
      </c>
      <c r="O10" s="14">
        <f t="shared" ref="O10:O49" si="0">N10/E10</f>
        <v>0.368333333333333</v>
      </c>
      <c r="P10" s="12">
        <f t="shared" ref="P10:P49" si="1">E10-N10</f>
        <v>2274</v>
      </c>
      <c r="Q10" s="14">
        <f>P10/(E10)</f>
        <v>0.631666666666667</v>
      </c>
      <c r="R10" s="12">
        <f>P10*维护参数!$B$20</f>
        <v>1478.1</v>
      </c>
      <c r="S10" s="14">
        <f>R10/(C10)</f>
        <v>0.410583333333333</v>
      </c>
      <c r="T10" s="2" t="s">
        <v>165</v>
      </c>
      <c r="U10" s="2" t="s">
        <v>166</v>
      </c>
    </row>
    <row r="11" ht="22" customHeight="1" spans="1:26">
      <c r="A11" s="2"/>
      <c r="B11" s="10"/>
      <c r="C11" s="10"/>
      <c r="D11" s="2" t="s">
        <v>167</v>
      </c>
      <c r="E11" s="10">
        <f>(B10)*(维护参数!$B$10)</f>
        <v>4200</v>
      </c>
      <c r="F11" s="11"/>
      <c r="G11" s="2" t="s">
        <v>168</v>
      </c>
      <c r="H11" s="12">
        <f>(MAX(维护参数!$B$5,ROUNDUP(F10/10000,0)))*(维护参数!$B$3)</f>
        <v>1210</v>
      </c>
      <c r="I11" s="13"/>
      <c r="J11" s="13"/>
      <c r="K11" s="13"/>
      <c r="L11" s="13"/>
      <c r="M11" s="12"/>
      <c r="N11" s="12">
        <f>SUM(H11,M10)</f>
        <v>2074</v>
      </c>
      <c r="O11" s="14">
        <f t="shared" si="0"/>
        <v>0.493809523809524</v>
      </c>
      <c r="P11" s="12">
        <f t="shared" si="1"/>
        <v>2126</v>
      </c>
      <c r="Q11" s="14">
        <f>P11/(E11)</f>
        <v>0.506190476190476</v>
      </c>
      <c r="R11" s="12">
        <f>P11*维护参数!$B$20</f>
        <v>1381.9</v>
      </c>
      <c r="S11" s="14">
        <f>R11/(B10)</f>
        <v>0.230316666666667</v>
      </c>
      <c r="T11" s="2"/>
      <c r="U11" s="2"/>
    </row>
    <row r="12" ht="22" customHeight="1" spans="1:26">
      <c r="A12" s="2" t="s">
        <v>169</v>
      </c>
      <c r="B12" s="10">
        <v>6250</v>
      </c>
      <c r="C12" s="10">
        <v>3750</v>
      </c>
      <c r="D12" s="2" t="s">
        <v>163</v>
      </c>
      <c r="E12" s="10">
        <f>(C12)*(1)</f>
        <v>3750</v>
      </c>
      <c r="F12" s="11">
        <f>ROUNDUP(B12*维护参数!$B$11/维护参数!$B$12*1000,0)</f>
        <v>229167</v>
      </c>
      <c r="G12" s="2" t="s">
        <v>164</v>
      </c>
      <c r="H12" s="12">
        <f>(MAX(维护参数!$B$4,ROUNDUP(F12/10000,0)))*(维护参数!$B$2)</f>
        <v>483</v>
      </c>
      <c r="I12" s="13">
        <f>ROUNDUP(B12*维护参数!$B$16/维护参数!$B$15/1000,0)*1000</f>
        <v>13000</v>
      </c>
      <c r="J12" s="13">
        <f>ROUNDUP(B12*维护参数!$B$17/维护参数!$B$15/10,0)*10</f>
        <v>130</v>
      </c>
      <c r="K12" s="13">
        <f>ROUNDUP(B12*维护参数!$B$18/维护参数!$B$15/10,0)*10</f>
        <v>130</v>
      </c>
      <c r="L12" s="13">
        <f>ROUNDUP(B12*维护参数!$B$19/维护参数!$B$15/10,0)*10</f>
        <v>190</v>
      </c>
      <c r="M12" s="12">
        <f>I12/1000*维护参数!$B$6+J12*维护参数!$B$7+K12*维护参数!$B$8+L12*维护参数!$B$9</f>
        <v>935</v>
      </c>
      <c r="N12" s="12">
        <f>SUM(H12,M12)</f>
        <v>1418</v>
      </c>
      <c r="O12" s="14">
        <f t="shared" si="0"/>
        <v>0.378133333333333</v>
      </c>
      <c r="P12" s="12">
        <f t="shared" si="1"/>
        <v>2332</v>
      </c>
      <c r="Q12" s="14">
        <f>P12/(E12)</f>
        <v>0.621866666666667</v>
      </c>
      <c r="R12" s="12">
        <f>P12*维护参数!$B$20</f>
        <v>1515.8</v>
      </c>
      <c r="S12" s="14">
        <f>R12/(C12)</f>
        <v>0.404213333333333</v>
      </c>
      <c r="T12" s="2" t="s">
        <v>170</v>
      </c>
      <c r="U12" s="2" t="s">
        <v>171</v>
      </c>
    </row>
    <row r="13" ht="22" customHeight="1" spans="1:26">
      <c r="A13" s="2"/>
      <c r="B13" s="10"/>
      <c r="C13" s="10"/>
      <c r="D13" s="2" t="s">
        <v>167</v>
      </c>
      <c r="E13" s="10">
        <f>(B12)*(维护参数!$B$10)</f>
        <v>4375</v>
      </c>
      <c r="F13" s="11"/>
      <c r="G13" s="2" t="s">
        <v>168</v>
      </c>
      <c r="H13" s="12">
        <f>(MAX(维护参数!$B$5,ROUNDUP(F12/10000,0)))*(维护参数!$B$3)</f>
        <v>1265</v>
      </c>
      <c r="I13" s="13"/>
      <c r="J13" s="13"/>
      <c r="K13" s="13"/>
      <c r="L13" s="13"/>
      <c r="M13" s="12"/>
      <c r="N13" s="12">
        <f>SUM(H13,M12)</f>
        <v>2200</v>
      </c>
      <c r="O13" s="14">
        <f t="shared" si="0"/>
        <v>0.502857142857143</v>
      </c>
      <c r="P13" s="12">
        <f t="shared" si="1"/>
        <v>2175</v>
      </c>
      <c r="Q13" s="14">
        <f>P13/(E13)</f>
        <v>0.497142857142857</v>
      </c>
      <c r="R13" s="12">
        <f>P13*维护参数!$B$20</f>
        <v>1413.75</v>
      </c>
      <c r="S13" s="14">
        <f>R13/(B12)</f>
        <v>0.2262</v>
      </c>
      <c r="T13" s="2"/>
      <c r="U13" s="2"/>
    </row>
    <row r="14" ht="22" customHeight="1" spans="1:26">
      <c r="A14" s="2" t="s">
        <v>172</v>
      </c>
      <c r="B14" s="10">
        <v>8750</v>
      </c>
      <c r="C14" s="10">
        <v>5250</v>
      </c>
      <c r="D14" s="2" t="s">
        <v>163</v>
      </c>
      <c r="E14" s="10">
        <f>(C14)*(1)</f>
        <v>5250</v>
      </c>
      <c r="F14" s="11">
        <f>ROUNDUP(B14*维护参数!$B$11/维护参数!$B$12*1000,0)</f>
        <v>320834</v>
      </c>
      <c r="G14" s="2" t="s">
        <v>164</v>
      </c>
      <c r="H14" s="12">
        <f>(MAX(维护参数!$B$4,ROUNDUP(F14/10000,0)))*(维护参数!$B$2)</f>
        <v>693</v>
      </c>
      <c r="I14" s="13">
        <f>ROUNDUP(B14*维护参数!$B$16/维护参数!$B$15/1000,0)*1000</f>
        <v>18000</v>
      </c>
      <c r="J14" s="13">
        <f>ROUNDUP(B14*维护参数!$B$17/维护参数!$B$15/10,0)*10</f>
        <v>180</v>
      </c>
      <c r="K14" s="13">
        <f>ROUNDUP(B14*维护参数!$B$18/维护参数!$B$15/10,0)*10</f>
        <v>180</v>
      </c>
      <c r="L14" s="13">
        <f>ROUNDUP(B14*维护参数!$B$19/维护参数!$B$15/10,0)*10</f>
        <v>270</v>
      </c>
      <c r="M14" s="12">
        <f>I14/1000*维护参数!$B$6+J14*维护参数!$B$7+K14*维护参数!$B$8+L14*维护参数!$B$9</f>
        <v>1296</v>
      </c>
      <c r="N14" s="12">
        <f>SUM(H14,M14)</f>
        <v>1989</v>
      </c>
      <c r="O14" s="14">
        <f t="shared" si="0"/>
        <v>0.378857142857143</v>
      </c>
      <c r="P14" s="12">
        <f t="shared" si="1"/>
        <v>3261</v>
      </c>
      <c r="Q14" s="14">
        <f>P14/(C14)</f>
        <v>0.621142857142857</v>
      </c>
      <c r="R14" s="12">
        <f>P14*维护参数!$B$20</f>
        <v>2119.65</v>
      </c>
      <c r="S14" s="14">
        <f>R14/(C14)</f>
        <v>0.403742857142857</v>
      </c>
      <c r="T14" s="2" t="s">
        <v>173</v>
      </c>
      <c r="U14" s="2" t="s">
        <v>174</v>
      </c>
    </row>
    <row r="15" ht="22" customHeight="1" spans="1:26">
      <c r="A15" s="2"/>
      <c r="B15" s="10"/>
      <c r="C15" s="10"/>
      <c r="D15" s="2" t="s">
        <v>167</v>
      </c>
      <c r="E15" s="10">
        <f>(B14)*(维护参数!$B$10)</f>
        <v>6125</v>
      </c>
      <c r="F15" s="11"/>
      <c r="G15" s="2" t="s">
        <v>168</v>
      </c>
      <c r="H15" s="12">
        <f>(MAX(维护参数!$B$5,ROUNDUP(F14/10000,0)))*(维护参数!$B$3)</f>
        <v>1815</v>
      </c>
      <c r="I15" s="13"/>
      <c r="J15" s="13"/>
      <c r="K15" s="13"/>
      <c r="L15" s="13"/>
      <c r="M15" s="12"/>
      <c r="N15" s="12">
        <f>SUM(H15,M14)</f>
        <v>3111</v>
      </c>
      <c r="O15" s="14">
        <f t="shared" si="0"/>
        <v>0.507918367346939</v>
      </c>
      <c r="P15" s="12">
        <f t="shared" si="1"/>
        <v>3014</v>
      </c>
      <c r="Q15" s="14">
        <f>P15/(B14)</f>
        <v>0.344457142857143</v>
      </c>
      <c r="R15" s="12">
        <f>P15*维护参数!$B$20</f>
        <v>1959.1</v>
      </c>
      <c r="S15" s="14">
        <f>R15/(B14)</f>
        <v>0.223897142857143</v>
      </c>
      <c r="T15" s="2"/>
      <c r="U15" s="2"/>
    </row>
    <row r="16" ht="22" customHeight="1" spans="1:26">
      <c r="A16" s="2" t="s">
        <v>175</v>
      </c>
      <c r="B16" s="10">
        <v>6000</v>
      </c>
      <c r="C16" s="10">
        <v>3600</v>
      </c>
      <c r="D16" s="2" t="s">
        <v>163</v>
      </c>
      <c r="E16" s="10">
        <f>(C16)*(1)</f>
        <v>3600</v>
      </c>
      <c r="F16" s="11">
        <f>ROUNDUP(B16*维护参数!$B$11/维护参数!$B$12*1000,0)</f>
        <v>220000</v>
      </c>
      <c r="G16" s="2" t="s">
        <v>164</v>
      </c>
      <c r="H16" s="12">
        <f>(MAX(维护参数!$B$4,ROUNDUP(F16/10000,0)))*(维护参数!$B$2)</f>
        <v>462</v>
      </c>
      <c r="I16" s="13">
        <f>ROUNDUP(B16*维护参数!$B$16/维护参数!$B$15/1000,0)*1000</f>
        <v>12000</v>
      </c>
      <c r="J16" s="13">
        <f>ROUNDUP(B16*维护参数!$B$17/维护参数!$B$15/10,0)*10</f>
        <v>120</v>
      </c>
      <c r="K16" s="13">
        <f>ROUNDUP(B16*维护参数!$B$18/维护参数!$B$15/10,0)*10</f>
        <v>120</v>
      </c>
      <c r="L16" s="13">
        <f>ROUNDUP(B16*维护参数!$B$19/维护参数!$B$15/10,0)*10</f>
        <v>180</v>
      </c>
      <c r="M16" s="12">
        <f>I16/1000*维护参数!$B$6+J16*维护参数!$B$7+K16*维护参数!$B$8+L16*维护参数!$B$9</f>
        <v>864</v>
      </c>
      <c r="N16" s="12">
        <f>SUM(H16,M16)</f>
        <v>1326</v>
      </c>
      <c r="O16" s="14">
        <f t="shared" si="0"/>
        <v>0.368333333333333</v>
      </c>
      <c r="P16" s="12">
        <f t="shared" si="1"/>
        <v>2274</v>
      </c>
      <c r="Q16" s="14">
        <f>P16/(C16)</f>
        <v>0.631666666666667</v>
      </c>
      <c r="R16" s="12">
        <f>P16*维护参数!$B$20</f>
        <v>1478.1</v>
      </c>
      <c r="S16" s="14">
        <f>R16/(C16)</f>
        <v>0.410583333333333</v>
      </c>
      <c r="T16" s="2" t="s">
        <v>173</v>
      </c>
      <c r="U16" s="2" t="s">
        <v>176</v>
      </c>
    </row>
    <row r="17" ht="22" customHeight="1" spans="1:21">
      <c r="A17" s="2"/>
      <c r="B17" s="10"/>
      <c r="C17" s="10"/>
      <c r="D17" s="2" t="s">
        <v>167</v>
      </c>
      <c r="E17" s="10">
        <f>(B16)*(维护参数!$B$10)</f>
        <v>4200</v>
      </c>
      <c r="F17" s="11"/>
      <c r="G17" s="2" t="s">
        <v>168</v>
      </c>
      <c r="H17" s="12">
        <f>(MAX(维护参数!$B$5,ROUNDUP(F16/10000,0)))*(维护参数!$B$3)</f>
        <v>1210</v>
      </c>
      <c r="I17" s="13"/>
      <c r="J17" s="13"/>
      <c r="K17" s="13"/>
      <c r="L17" s="13"/>
      <c r="M17" s="12"/>
      <c r="N17" s="12">
        <f>SUM(H17,M16)</f>
        <v>2074</v>
      </c>
      <c r="O17" s="14">
        <f t="shared" si="0"/>
        <v>0.493809523809524</v>
      </c>
      <c r="P17" s="12">
        <f t="shared" si="1"/>
        <v>2126</v>
      </c>
      <c r="Q17" s="14">
        <f>P17/(B16)</f>
        <v>0.354333333333333</v>
      </c>
      <c r="R17" s="12">
        <f>P17*维护参数!$B$20</f>
        <v>1381.9</v>
      </c>
      <c r="S17" s="14">
        <f>R17/(B16)</f>
        <v>0.230316666666667</v>
      </c>
      <c r="T17" s="2"/>
      <c r="U17" s="2"/>
    </row>
    <row r="18" ht="22" customHeight="1" spans="1:21">
      <c r="A18" s="2" t="s">
        <v>177</v>
      </c>
      <c r="B18" s="10">
        <v>6000</v>
      </c>
      <c r="C18" s="10">
        <v>3600</v>
      </c>
      <c r="D18" s="2" t="s">
        <v>163</v>
      </c>
      <c r="E18" s="10">
        <f>(C18)*(1)</f>
        <v>3600</v>
      </c>
      <c r="F18" s="11">
        <f>ROUNDUP(B18*维护参数!$B$11/维护参数!$B$12*1000,0)</f>
        <v>220000</v>
      </c>
      <c r="G18" s="2" t="s">
        <v>164</v>
      </c>
      <c r="H18" s="12">
        <f>(MAX(维护参数!$B$4,ROUNDUP(F18/10000,0)))*(维护参数!$B$2)</f>
        <v>462</v>
      </c>
      <c r="I18" s="13">
        <f>ROUNDUP(B18*维护参数!$B$16/维护参数!$B$15/1000,0)*1000</f>
        <v>12000</v>
      </c>
      <c r="J18" s="13">
        <f>ROUNDUP(B18*维护参数!$B$17/维护参数!$B$15/10,0)*10</f>
        <v>120</v>
      </c>
      <c r="K18" s="13">
        <f>ROUNDUP(B18*维护参数!$B$18/维护参数!$B$15/10,0)*10</f>
        <v>120</v>
      </c>
      <c r="L18" s="13">
        <f>ROUNDUP(B18*维护参数!$B$19/维护参数!$B$15/10,0)*10</f>
        <v>180</v>
      </c>
      <c r="M18" s="12">
        <f>I18/1000*维护参数!$B$6+J18*维护参数!$B$7+K18*维护参数!$B$8+L18*维护参数!$B$9</f>
        <v>864</v>
      </c>
      <c r="N18" s="12">
        <f>SUM(H18,M18)</f>
        <v>1326</v>
      </c>
      <c r="O18" s="14">
        <f t="shared" si="0"/>
        <v>0.368333333333333</v>
      </c>
      <c r="P18" s="12">
        <f t="shared" si="1"/>
        <v>2274</v>
      </c>
      <c r="Q18" s="14">
        <f>P18/(C18)</f>
        <v>0.631666666666667</v>
      </c>
      <c r="R18" s="12">
        <f>P18*维护参数!$B$20</f>
        <v>1478.1</v>
      </c>
      <c r="S18" s="14">
        <f>R18/(C18)</f>
        <v>0.410583333333333</v>
      </c>
      <c r="T18" s="2" t="s">
        <v>178</v>
      </c>
      <c r="U18" s="2" t="s">
        <v>179</v>
      </c>
    </row>
    <row r="19" ht="22" customHeight="1" spans="1:21">
      <c r="A19" s="2"/>
      <c r="B19" s="10"/>
      <c r="C19" s="10"/>
      <c r="D19" s="2" t="s">
        <v>167</v>
      </c>
      <c r="E19" s="10">
        <f>(B18)*(维护参数!$B$10)</f>
        <v>4200</v>
      </c>
      <c r="F19" s="11"/>
      <c r="G19" s="2" t="s">
        <v>168</v>
      </c>
      <c r="H19" s="12">
        <f>(MAX(维护参数!$B$5,ROUNDUP(F18/10000,0)))*(维护参数!$B$3)</f>
        <v>1210</v>
      </c>
      <c r="I19" s="13"/>
      <c r="J19" s="13"/>
      <c r="K19" s="13"/>
      <c r="L19" s="13"/>
      <c r="M19" s="12"/>
      <c r="N19" s="12">
        <f>SUM(H19,M18)</f>
        <v>2074</v>
      </c>
      <c r="O19" s="14">
        <f t="shared" si="0"/>
        <v>0.493809523809524</v>
      </c>
      <c r="P19" s="12">
        <f t="shared" si="1"/>
        <v>2126</v>
      </c>
      <c r="Q19" s="14">
        <f>P19/(B18)</f>
        <v>0.354333333333333</v>
      </c>
      <c r="R19" s="12">
        <f>P19*维护参数!$B$20</f>
        <v>1381.9</v>
      </c>
      <c r="S19" s="14">
        <f>R19/(B18)</f>
        <v>0.230316666666667</v>
      </c>
      <c r="T19" s="2"/>
      <c r="U19" s="2"/>
    </row>
    <row r="20" ht="22" customHeight="1" spans="1:21">
      <c r="A20" s="2" t="s">
        <v>180</v>
      </c>
      <c r="B20" s="10">
        <v>6000</v>
      </c>
      <c r="C20" s="10">
        <v>3600</v>
      </c>
      <c r="D20" s="2" t="s">
        <v>163</v>
      </c>
      <c r="E20" s="10">
        <f>(C20)*(1)</f>
        <v>3600</v>
      </c>
      <c r="F20" s="11">
        <f>ROUNDUP(B20*维护参数!$B$11/维护参数!$B$12*1000,0)</f>
        <v>220000</v>
      </c>
      <c r="G20" s="2" t="s">
        <v>164</v>
      </c>
      <c r="H20" s="12">
        <f>(MAX(维护参数!$B$4,ROUNDUP(F20/10000,0)))*(维护参数!$B$2)</f>
        <v>462</v>
      </c>
      <c r="I20" s="13">
        <f>ROUNDUP(B20*维护参数!$B$16/维护参数!$B$15/1000,0)*1000</f>
        <v>12000</v>
      </c>
      <c r="J20" s="13">
        <f>ROUNDUP(B20*维护参数!$B$17/维护参数!$B$15/10,0)*10</f>
        <v>120</v>
      </c>
      <c r="K20" s="13">
        <f>ROUNDUP(B20*维护参数!$B$18/维护参数!$B$15/10,0)*10</f>
        <v>120</v>
      </c>
      <c r="L20" s="13">
        <f>ROUNDUP(B20*维护参数!$B$19/维护参数!$B$15/10,0)*10</f>
        <v>180</v>
      </c>
      <c r="M20" s="12">
        <f>I20/1000*维护参数!$B$6+J20*维护参数!$B$7+K20*维护参数!$B$8+L20*维护参数!$B$9</f>
        <v>864</v>
      </c>
      <c r="N20" s="12">
        <f>SUM(H20,M20)</f>
        <v>1326</v>
      </c>
      <c r="O20" s="14">
        <f t="shared" si="0"/>
        <v>0.368333333333333</v>
      </c>
      <c r="P20" s="12">
        <f t="shared" si="1"/>
        <v>2274</v>
      </c>
      <c r="Q20" s="14">
        <f>P20/(C20)</f>
        <v>0.631666666666667</v>
      </c>
      <c r="R20" s="12">
        <f>P20*维护参数!$B$20</f>
        <v>1478.1</v>
      </c>
      <c r="S20" s="14">
        <f>R20/(C20)</f>
        <v>0.410583333333333</v>
      </c>
      <c r="T20" s="2" t="s">
        <v>181</v>
      </c>
      <c r="U20" s="2" t="s">
        <v>182</v>
      </c>
    </row>
    <row r="21" ht="22" customHeight="1" spans="1:21">
      <c r="A21" s="2"/>
      <c r="B21" s="10"/>
      <c r="C21" s="10"/>
      <c r="D21" s="2" t="s">
        <v>167</v>
      </c>
      <c r="E21" s="10">
        <f>(B20)*(维护参数!$B$10)</f>
        <v>4200</v>
      </c>
      <c r="F21" s="11"/>
      <c r="G21" s="2" t="s">
        <v>168</v>
      </c>
      <c r="H21" s="12">
        <f>(MAX(维护参数!$B$5,ROUNDUP(F20/10000,0)))*(维护参数!$B$3)</f>
        <v>1210</v>
      </c>
      <c r="I21" s="13"/>
      <c r="J21" s="13"/>
      <c r="K21" s="13"/>
      <c r="L21" s="13"/>
      <c r="M21" s="12"/>
      <c r="N21" s="12">
        <f>SUM(H21,M20)</f>
        <v>2074</v>
      </c>
      <c r="O21" s="14">
        <f t="shared" si="0"/>
        <v>0.493809523809524</v>
      </c>
      <c r="P21" s="12">
        <f t="shared" si="1"/>
        <v>2126</v>
      </c>
      <c r="Q21" s="14">
        <f>P21/(B20)</f>
        <v>0.354333333333333</v>
      </c>
      <c r="R21" s="12">
        <f>P21*维护参数!$B$20</f>
        <v>1381.9</v>
      </c>
      <c r="S21" s="14">
        <f>R21/(B20)</f>
        <v>0.230316666666667</v>
      </c>
      <c r="T21" s="2"/>
      <c r="U21" s="2"/>
    </row>
    <row r="22" ht="22" customHeight="1" spans="1:21">
      <c r="A22" s="2" t="s">
        <v>183</v>
      </c>
      <c r="B22" s="10">
        <v>4800</v>
      </c>
      <c r="C22" s="10">
        <v>2880</v>
      </c>
      <c r="D22" s="2" t="s">
        <v>163</v>
      </c>
      <c r="E22" s="10">
        <f>(C22)*(1)</f>
        <v>2880</v>
      </c>
      <c r="F22" s="11">
        <f>ROUNDUP(B22*维护参数!$B$11/维护参数!$B$12*1000,0)</f>
        <v>176000</v>
      </c>
      <c r="G22" s="2" t="s">
        <v>164</v>
      </c>
      <c r="H22" s="12">
        <f>(MAX(维护参数!$B$4,ROUNDUP(F22/10000,0)))*(维护参数!$B$2)</f>
        <v>378</v>
      </c>
      <c r="I22" s="13">
        <f>ROUNDUP(B22*维护参数!$B$16/维护参数!$B$15/1000,0)*1000</f>
        <v>10000</v>
      </c>
      <c r="J22" s="13">
        <f>ROUNDUP(B22*维护参数!$B$17/维护参数!$B$15/10,0)*10</f>
        <v>100</v>
      </c>
      <c r="K22" s="13">
        <f>ROUNDUP(B22*维护参数!$B$18/维护参数!$B$15/10,0)*10</f>
        <v>100</v>
      </c>
      <c r="L22" s="13">
        <f>ROUNDUP(B22*维护参数!$B$19/维护参数!$B$15/10,0)*10</f>
        <v>150</v>
      </c>
      <c r="M22" s="12">
        <f>I22/1000*维护参数!$B$6+J22*维护参数!$B$7+K22*维护参数!$B$8+L22*维护参数!$B$9</f>
        <v>720</v>
      </c>
      <c r="N22" s="12">
        <f>SUM(H22,M22)</f>
        <v>1098</v>
      </c>
      <c r="O22" s="14">
        <f t="shared" si="0"/>
        <v>0.38125</v>
      </c>
      <c r="P22" s="12">
        <f t="shared" si="1"/>
        <v>1782</v>
      </c>
      <c r="Q22" s="14">
        <f>P22/(C22)</f>
        <v>0.61875</v>
      </c>
      <c r="R22" s="12">
        <f>P22*维护参数!$B$20</f>
        <v>1158.3</v>
      </c>
      <c r="S22" s="14">
        <f>R22/(C22)</f>
        <v>0.4021875</v>
      </c>
      <c r="T22" s="2" t="s">
        <v>181</v>
      </c>
      <c r="U22" s="2" t="s">
        <v>184</v>
      </c>
    </row>
    <row r="23" ht="22" customHeight="1" spans="1:21">
      <c r="A23" s="2"/>
      <c r="B23" s="10"/>
      <c r="C23" s="10"/>
      <c r="D23" s="2" t="s">
        <v>167</v>
      </c>
      <c r="E23" s="10">
        <f>(B22)*(维护参数!$B$10)</f>
        <v>3360</v>
      </c>
      <c r="F23" s="11"/>
      <c r="G23" s="2" t="s">
        <v>168</v>
      </c>
      <c r="H23" s="12">
        <f>(MAX(维护参数!$B$5,ROUNDUP(F22/10000,0)))*(维护参数!$B$3)</f>
        <v>990</v>
      </c>
      <c r="I23" s="13"/>
      <c r="J23" s="13"/>
      <c r="K23" s="13"/>
      <c r="L23" s="13"/>
      <c r="M23" s="12"/>
      <c r="N23" s="12">
        <f>SUM(H23,M22)</f>
        <v>1710</v>
      </c>
      <c r="O23" s="14">
        <f t="shared" si="0"/>
        <v>0.508928571428571</v>
      </c>
      <c r="P23" s="12">
        <f t="shared" si="1"/>
        <v>1650</v>
      </c>
      <c r="Q23" s="14">
        <f>P23/(B22)</f>
        <v>0.34375</v>
      </c>
      <c r="R23" s="12">
        <f>P23*维护参数!$B$20</f>
        <v>1072.5</v>
      </c>
      <c r="S23" s="14">
        <f>R23/(B22)</f>
        <v>0.2234375</v>
      </c>
      <c r="T23" s="2"/>
      <c r="U23" s="2"/>
    </row>
    <row r="24" ht="22" customHeight="1" spans="1:21">
      <c r="A24" s="2" t="s">
        <v>185</v>
      </c>
      <c r="B24" s="10">
        <v>3500</v>
      </c>
      <c r="C24" s="10">
        <v>2100</v>
      </c>
      <c r="D24" s="2" t="s">
        <v>163</v>
      </c>
      <c r="E24" s="10">
        <f>(C24)*(1)</f>
        <v>2100</v>
      </c>
      <c r="F24" s="11">
        <f>ROUNDUP(B24*维护参数!$B$11/维护参数!$B$12*1000,0)</f>
        <v>128334</v>
      </c>
      <c r="G24" s="2" t="s">
        <v>164</v>
      </c>
      <c r="H24" s="12">
        <f>(MAX(维护参数!$B$4,ROUNDUP(F24/10000,0)))*(维护参数!$B$2)</f>
        <v>273</v>
      </c>
      <c r="I24" s="13">
        <f>ROUNDUP(B24*维护参数!$B$16/维护参数!$B$15/1000,0)*1000</f>
        <v>7000</v>
      </c>
      <c r="J24" s="13">
        <f>ROUNDUP(B24*维护参数!$B$17/维护参数!$B$15/10,0)*10</f>
        <v>70</v>
      </c>
      <c r="K24" s="13">
        <f>ROUNDUP(B24*维护参数!$B$18/维护参数!$B$15/10,0)*10</f>
        <v>70</v>
      </c>
      <c r="L24" s="13">
        <f>ROUNDUP(B24*维护参数!$B$19/维护参数!$B$15/10,0)*10</f>
        <v>110</v>
      </c>
      <c r="M24" s="12">
        <f>I24/1000*维护参数!$B$6+J24*维护参数!$B$7+K24*维护参数!$B$8+L24*维护参数!$B$9</f>
        <v>505</v>
      </c>
      <c r="N24" s="12">
        <f>SUM(H24,M24)</f>
        <v>778</v>
      </c>
      <c r="O24" s="14">
        <f t="shared" si="0"/>
        <v>0.37047619047619</v>
      </c>
      <c r="P24" s="12">
        <f t="shared" si="1"/>
        <v>1322</v>
      </c>
      <c r="Q24" s="14">
        <f>P24/(C24)</f>
        <v>0.629523809523809</v>
      </c>
      <c r="R24" s="12">
        <f>P24*维护参数!$B$20</f>
        <v>859.3</v>
      </c>
      <c r="S24" s="14">
        <f>R24/(C24)</f>
        <v>0.409190476190476</v>
      </c>
      <c r="T24" s="2" t="s">
        <v>170</v>
      </c>
      <c r="U24" s="2" t="s">
        <v>186</v>
      </c>
    </row>
    <row r="25" ht="22" customHeight="1" spans="1:21">
      <c r="A25" s="2"/>
      <c r="B25" s="10"/>
      <c r="C25" s="10"/>
      <c r="D25" s="2" t="s">
        <v>167</v>
      </c>
      <c r="E25" s="10">
        <f>(B24)*(维护参数!$B$10)</f>
        <v>2450</v>
      </c>
      <c r="F25" s="11"/>
      <c r="G25" s="2" t="s">
        <v>168</v>
      </c>
      <c r="H25" s="12">
        <f>(MAX(维护参数!$B$5,ROUNDUP(F24/10000,0)))*(维护参数!$B$3)</f>
        <v>715</v>
      </c>
      <c r="I25" s="13"/>
      <c r="J25" s="13"/>
      <c r="K25" s="13"/>
      <c r="L25" s="13"/>
      <c r="M25" s="12"/>
      <c r="N25" s="12">
        <f>SUM(H25,M24)</f>
        <v>1220</v>
      </c>
      <c r="O25" s="14">
        <f t="shared" si="0"/>
        <v>0.497959183673469</v>
      </c>
      <c r="P25" s="12">
        <f t="shared" si="1"/>
        <v>1230</v>
      </c>
      <c r="Q25" s="14">
        <f>P25/(B24)</f>
        <v>0.351428571428571</v>
      </c>
      <c r="R25" s="12">
        <f>P25*维护参数!$B$20</f>
        <v>799.5</v>
      </c>
      <c r="S25" s="14">
        <f>R25/(B24)</f>
        <v>0.228428571428571</v>
      </c>
      <c r="T25" s="2"/>
      <c r="U25" s="2"/>
    </row>
    <row r="26" ht="22" customHeight="1" spans="1:21">
      <c r="A26" s="2" t="s">
        <v>187</v>
      </c>
      <c r="B26" s="10">
        <v>7800</v>
      </c>
      <c r="C26" s="10">
        <v>4680</v>
      </c>
      <c r="D26" s="2" t="s">
        <v>163</v>
      </c>
      <c r="E26" s="10">
        <f>(C26)*(1)</f>
        <v>4680</v>
      </c>
      <c r="F26" s="11">
        <f>ROUNDUP(B26*维护参数!$B$11/维护参数!$B$12*1000,0)</f>
        <v>286000</v>
      </c>
      <c r="G26" s="2" t="s">
        <v>164</v>
      </c>
      <c r="H26" s="12">
        <f>(MAX(维护参数!$B$4,ROUNDUP(F26/10000,0)))*(维护参数!$B$2)</f>
        <v>609</v>
      </c>
      <c r="I26" s="13">
        <f>ROUNDUP(B26*维护参数!$B$16/维护参数!$B$15/1000,0)*1000</f>
        <v>16000</v>
      </c>
      <c r="J26" s="13">
        <f>ROUNDUP(B26*维护参数!$B$17/维护参数!$B$15/10,0)*10</f>
        <v>160</v>
      </c>
      <c r="K26" s="13">
        <f>ROUNDUP(B26*维护参数!$B$18/维护参数!$B$15/10,0)*10</f>
        <v>160</v>
      </c>
      <c r="L26" s="13">
        <f>ROUNDUP(B26*维护参数!$B$19/维护参数!$B$15/10,0)*10</f>
        <v>240</v>
      </c>
      <c r="M26" s="12">
        <f>I26/1000*维护参数!$B$6+J26*维护参数!$B$7+K26*维护参数!$B$8+L26*维护参数!$B$9</f>
        <v>1152</v>
      </c>
      <c r="N26" s="12">
        <f>SUM(H26,M26)</f>
        <v>1761</v>
      </c>
      <c r="O26" s="14">
        <f t="shared" si="0"/>
        <v>0.376282051282051</v>
      </c>
      <c r="P26" s="12">
        <f t="shared" si="1"/>
        <v>2919</v>
      </c>
      <c r="Q26" s="14">
        <f>P26/(C26)</f>
        <v>0.623717948717949</v>
      </c>
      <c r="R26" s="12">
        <f>P26*维护参数!$B$20</f>
        <v>1897.35</v>
      </c>
      <c r="S26" s="14">
        <f>R26/(C26)</f>
        <v>0.405416666666667</v>
      </c>
      <c r="T26" s="2" t="s">
        <v>188</v>
      </c>
      <c r="U26" s="2" t="s">
        <v>189</v>
      </c>
    </row>
    <row r="27" ht="22" customHeight="1" spans="1:21">
      <c r="A27" s="2"/>
      <c r="B27" s="10"/>
      <c r="C27" s="10"/>
      <c r="D27" s="2" t="s">
        <v>167</v>
      </c>
      <c r="E27" s="10">
        <f>(B26)*(维护参数!$B$10)</f>
        <v>5460</v>
      </c>
      <c r="F27" s="11"/>
      <c r="G27" s="2" t="s">
        <v>168</v>
      </c>
      <c r="H27" s="12">
        <f>(MAX(维护参数!$B$5,ROUNDUP(F26/10000,0)))*(维护参数!$B$3)</f>
        <v>1595</v>
      </c>
      <c r="I27" s="13"/>
      <c r="J27" s="13"/>
      <c r="K27" s="13"/>
      <c r="L27" s="13"/>
      <c r="M27" s="12"/>
      <c r="N27" s="12">
        <f>SUM(H27,M26)</f>
        <v>2747</v>
      </c>
      <c r="O27" s="14">
        <f t="shared" si="0"/>
        <v>0.503113553113553</v>
      </c>
      <c r="P27" s="12">
        <f t="shared" si="1"/>
        <v>2713</v>
      </c>
      <c r="Q27" s="14">
        <f>P27/(B26)</f>
        <v>0.347820512820513</v>
      </c>
      <c r="R27" s="12">
        <f>P27*维护参数!$B$20</f>
        <v>1763.45</v>
      </c>
      <c r="S27" s="14">
        <f>R27/(B26)</f>
        <v>0.226083333333333</v>
      </c>
      <c r="T27" s="2"/>
      <c r="U27" s="2"/>
    </row>
    <row r="28" ht="22" customHeight="1" spans="1:21">
      <c r="A28" s="2" t="s">
        <v>190</v>
      </c>
      <c r="B28" s="10">
        <v>3750</v>
      </c>
      <c r="C28" s="10">
        <v>2250</v>
      </c>
      <c r="D28" s="2" t="s">
        <v>163</v>
      </c>
      <c r="E28" s="10">
        <f>(C28)*(1)</f>
        <v>2250</v>
      </c>
      <c r="F28" s="11">
        <f>ROUNDUP(B28*维护参数!$B$11/维护参数!$B$12*1000,0)</f>
        <v>137500</v>
      </c>
      <c r="G28" s="2" t="s">
        <v>164</v>
      </c>
      <c r="H28" s="12">
        <f>(MAX(维护参数!$B$4,ROUNDUP(F28/10000,0)))*(维护参数!$B$2)</f>
        <v>294</v>
      </c>
      <c r="I28" s="13">
        <f>ROUNDUP(B28*维护参数!$B$16/维护参数!$B$15/1000,0)*1000</f>
        <v>8000</v>
      </c>
      <c r="J28" s="13">
        <f>ROUNDUP(B28*维护参数!$B$17/维护参数!$B$15/10,0)*10</f>
        <v>80</v>
      </c>
      <c r="K28" s="13">
        <f>ROUNDUP(B28*维护参数!$B$18/维护参数!$B$15/10,0)*10</f>
        <v>80</v>
      </c>
      <c r="L28" s="13">
        <f>ROUNDUP(B28*维护参数!$B$19/维护参数!$B$15/10,0)*10</f>
        <v>120</v>
      </c>
      <c r="M28" s="12">
        <f>I28/1000*维护参数!$B$6+J28*维护参数!$B$7+K28*维护参数!$B$8+L28*维护参数!$B$9</f>
        <v>576</v>
      </c>
      <c r="N28" s="12">
        <f>SUM(H28,M28)</f>
        <v>870</v>
      </c>
      <c r="O28" s="14">
        <f t="shared" si="0"/>
        <v>0.386666666666667</v>
      </c>
      <c r="P28" s="12">
        <f t="shared" si="1"/>
        <v>1380</v>
      </c>
      <c r="Q28" s="14">
        <f>P28/(C28)</f>
        <v>0.613333333333333</v>
      </c>
      <c r="R28" s="12">
        <f>P28*维护参数!$B$20</f>
        <v>897</v>
      </c>
      <c r="S28" s="14">
        <f>R28/(C28)</f>
        <v>0.398666666666667</v>
      </c>
      <c r="T28" s="2" t="s">
        <v>191</v>
      </c>
      <c r="U28" s="2" t="s">
        <v>192</v>
      </c>
    </row>
    <row r="29" ht="22" customHeight="1" spans="1:21">
      <c r="A29" s="2"/>
      <c r="B29" s="10"/>
      <c r="C29" s="10"/>
      <c r="D29" s="2" t="s">
        <v>167</v>
      </c>
      <c r="E29" s="10">
        <f>(B28)*(维护参数!$B$10)</f>
        <v>2625</v>
      </c>
      <c r="F29" s="11"/>
      <c r="G29" s="2" t="s">
        <v>168</v>
      </c>
      <c r="H29" s="12">
        <f>(MAX(维护参数!$B$5,ROUNDUP(F28/10000,0)))*(维护参数!$B$3)</f>
        <v>770</v>
      </c>
      <c r="I29" s="13"/>
      <c r="J29" s="13"/>
      <c r="K29" s="13"/>
      <c r="L29" s="13"/>
      <c r="M29" s="12"/>
      <c r="N29" s="12">
        <f>SUM(H29,M28)</f>
        <v>1346</v>
      </c>
      <c r="O29" s="14">
        <f t="shared" si="0"/>
        <v>0.512761904761905</v>
      </c>
      <c r="P29" s="12">
        <f t="shared" si="1"/>
        <v>1279</v>
      </c>
      <c r="Q29" s="14">
        <f>P29/(B28)</f>
        <v>0.341066666666667</v>
      </c>
      <c r="R29" s="12">
        <f>P29*维护参数!$B$20</f>
        <v>831.35</v>
      </c>
      <c r="S29" s="14">
        <f>R29/(B28)</f>
        <v>0.221693333333333</v>
      </c>
      <c r="T29" s="2"/>
      <c r="U29" s="2"/>
    </row>
    <row r="30" ht="22" customHeight="1" spans="1:21">
      <c r="A30" s="2" t="s">
        <v>193</v>
      </c>
      <c r="B30" s="10">
        <v>3000</v>
      </c>
      <c r="C30" s="10">
        <v>1800</v>
      </c>
      <c r="D30" s="2" t="s">
        <v>163</v>
      </c>
      <c r="E30" s="10">
        <f>(C30)*(1)</f>
        <v>1800</v>
      </c>
      <c r="F30" s="11">
        <f>ROUNDUP(B30*维护参数!$B$11/维护参数!$B$12*1000,0)</f>
        <v>110000</v>
      </c>
      <c r="G30" s="2" t="s">
        <v>164</v>
      </c>
      <c r="H30" s="12">
        <f>(MAX(维护参数!$B$4,ROUNDUP(F30/10000,0)))*(维护参数!$B$2)</f>
        <v>231</v>
      </c>
      <c r="I30" s="13">
        <f>ROUNDUP(B30*维护参数!$B$16/维护参数!$B$15/1000,0)*1000</f>
        <v>6000</v>
      </c>
      <c r="J30" s="13">
        <f>ROUNDUP(B30*维护参数!$B$17/维护参数!$B$15/10,0)*10</f>
        <v>60</v>
      </c>
      <c r="K30" s="13">
        <f>ROUNDUP(B30*维护参数!$B$18/维护参数!$B$15/10,0)*10</f>
        <v>60</v>
      </c>
      <c r="L30" s="13">
        <f>ROUNDUP(B30*维护参数!$B$19/维护参数!$B$15/10,0)*10</f>
        <v>90</v>
      </c>
      <c r="M30" s="12">
        <f>I30/1000*维护参数!$B$6+J30*维护参数!$B$7+K30*维护参数!$B$8+L30*维护参数!$B$9</f>
        <v>432</v>
      </c>
      <c r="N30" s="12">
        <f>SUM(H30,M30)</f>
        <v>663</v>
      </c>
      <c r="O30" s="14">
        <f t="shared" si="0"/>
        <v>0.368333333333333</v>
      </c>
      <c r="P30" s="12">
        <f t="shared" si="1"/>
        <v>1137</v>
      </c>
      <c r="Q30" s="14">
        <f>P30/(C30)</f>
        <v>0.631666666666667</v>
      </c>
      <c r="R30" s="12">
        <f>P30*维护参数!$B$20</f>
        <v>739.05</v>
      </c>
      <c r="S30" s="14">
        <f>R30/(C30)</f>
        <v>0.410583333333333</v>
      </c>
      <c r="T30" s="2" t="s">
        <v>191</v>
      </c>
      <c r="U30" s="2" t="s">
        <v>194</v>
      </c>
    </row>
    <row r="31" ht="22" customHeight="1" spans="1:21">
      <c r="A31" s="2"/>
      <c r="B31" s="10"/>
      <c r="C31" s="10"/>
      <c r="D31" s="2" t="s">
        <v>167</v>
      </c>
      <c r="E31" s="10">
        <f>(B30)*(维护参数!$B$10)</f>
        <v>2100</v>
      </c>
      <c r="F31" s="11"/>
      <c r="G31" s="2" t="s">
        <v>168</v>
      </c>
      <c r="H31" s="12">
        <f>(MAX(维护参数!$B$5,ROUNDUP(F30/10000,0)))*(维护参数!$B$3)</f>
        <v>605</v>
      </c>
      <c r="I31" s="13"/>
      <c r="J31" s="13"/>
      <c r="K31" s="13"/>
      <c r="L31" s="13"/>
      <c r="M31" s="12"/>
      <c r="N31" s="12">
        <f>SUM(H31,M30)</f>
        <v>1037</v>
      </c>
      <c r="O31" s="14">
        <f t="shared" si="0"/>
        <v>0.493809523809524</v>
      </c>
      <c r="P31" s="12">
        <f t="shared" si="1"/>
        <v>1063</v>
      </c>
      <c r="Q31" s="14">
        <f>P31/(B30)</f>
        <v>0.354333333333333</v>
      </c>
      <c r="R31" s="12">
        <f>P31*维护参数!$B$20</f>
        <v>690.95</v>
      </c>
      <c r="S31" s="14">
        <f>R31/(B30)</f>
        <v>0.230316666666667</v>
      </c>
      <c r="T31" s="2"/>
      <c r="U31" s="2"/>
    </row>
    <row r="32" ht="22" customHeight="1" spans="1:21">
      <c r="A32" s="2" t="s">
        <v>195</v>
      </c>
      <c r="B32" s="10">
        <v>7150</v>
      </c>
      <c r="C32" s="10">
        <v>4290</v>
      </c>
      <c r="D32" s="2" t="s">
        <v>163</v>
      </c>
      <c r="E32" s="10">
        <f>(C32)*(1)</f>
        <v>4290</v>
      </c>
      <c r="F32" s="11">
        <f>ROUNDUP(B32*维护参数!$B$11/维护参数!$B$12*1000,0)</f>
        <v>262167</v>
      </c>
      <c r="G32" s="2" t="s">
        <v>164</v>
      </c>
      <c r="H32" s="12">
        <f>(MAX(维护参数!$B$4,ROUNDUP(F32/10000,0)))*(维护参数!$B$2)</f>
        <v>567</v>
      </c>
      <c r="I32" s="13">
        <f>ROUNDUP(B32*维护参数!$B$16/维护参数!$B$15/1000,0)*1000</f>
        <v>15000</v>
      </c>
      <c r="J32" s="13">
        <f>ROUNDUP(B32*维护参数!$B$17/维护参数!$B$15/10,0)*10</f>
        <v>150</v>
      </c>
      <c r="K32" s="13">
        <f>ROUNDUP(B32*维护参数!$B$18/维护参数!$B$15/10,0)*10</f>
        <v>150</v>
      </c>
      <c r="L32" s="13">
        <f>ROUNDUP(B32*维护参数!$B$19/维护参数!$B$15/10,0)*10</f>
        <v>220</v>
      </c>
      <c r="M32" s="12">
        <f>I32/1000*维护参数!$B$6+J32*维护参数!$B$7+K32*维护参数!$B$8+L32*维护参数!$B$9</f>
        <v>1079</v>
      </c>
      <c r="N32" s="12">
        <f>SUM(H32,M32)</f>
        <v>1646</v>
      </c>
      <c r="O32" s="14">
        <f t="shared" si="0"/>
        <v>0.383682983682984</v>
      </c>
      <c r="P32" s="12">
        <f t="shared" si="1"/>
        <v>2644</v>
      </c>
      <c r="Q32" s="14">
        <f>P32/(C32)</f>
        <v>0.616317016317016</v>
      </c>
      <c r="R32" s="12">
        <f>P32*维护参数!$B$20</f>
        <v>1718.6</v>
      </c>
      <c r="S32" s="14">
        <f>R32/(C32)</f>
        <v>0.400606060606061</v>
      </c>
      <c r="T32" s="2" t="s">
        <v>178</v>
      </c>
      <c r="U32" s="2" t="s">
        <v>196</v>
      </c>
    </row>
    <row r="33" ht="22" customHeight="1" spans="1:21">
      <c r="A33" s="2"/>
      <c r="B33" s="10"/>
      <c r="C33" s="10"/>
      <c r="D33" s="2" t="s">
        <v>167</v>
      </c>
      <c r="E33" s="10">
        <f>(B32)*(维护参数!$B$10)</f>
        <v>5005</v>
      </c>
      <c r="F33" s="11"/>
      <c r="G33" s="2" t="s">
        <v>168</v>
      </c>
      <c r="H33" s="12">
        <f>(MAX(维护参数!$B$5,ROUNDUP(F32/10000,0)))*(维护参数!$B$3)</f>
        <v>1485</v>
      </c>
      <c r="I33" s="13"/>
      <c r="J33" s="13"/>
      <c r="K33" s="13"/>
      <c r="L33" s="13"/>
      <c r="M33" s="12"/>
      <c r="N33" s="12">
        <f>SUM(H33,M32)</f>
        <v>2564</v>
      </c>
      <c r="O33" s="14">
        <f t="shared" si="0"/>
        <v>0.512287712287712</v>
      </c>
      <c r="P33" s="12">
        <f t="shared" si="1"/>
        <v>2441</v>
      </c>
      <c r="Q33" s="14">
        <f>P33/(B32)</f>
        <v>0.341398601398601</v>
      </c>
      <c r="R33" s="12">
        <f>P33*维护参数!$B$20</f>
        <v>1586.65</v>
      </c>
      <c r="S33" s="14">
        <f>R33/(B32)</f>
        <v>0.221909090909091</v>
      </c>
      <c r="T33" s="2"/>
      <c r="U33" s="2"/>
    </row>
    <row r="34" ht="22" customHeight="1" spans="1:21">
      <c r="A34" s="2" t="s">
        <v>197</v>
      </c>
      <c r="B34" s="10">
        <v>7800</v>
      </c>
      <c r="C34" s="10">
        <v>4680</v>
      </c>
      <c r="D34" s="2" t="s">
        <v>163</v>
      </c>
      <c r="E34" s="10">
        <f>(C34)*(1)</f>
        <v>4680</v>
      </c>
      <c r="F34" s="11">
        <f>ROUNDUP(B34*维护参数!$B$11/维护参数!$B$12*1000,0)</f>
        <v>286000</v>
      </c>
      <c r="G34" s="2" t="s">
        <v>164</v>
      </c>
      <c r="H34" s="12">
        <f>(MAX(维护参数!$B$4,ROUNDUP(F34/10000,0)))*(维护参数!$B$2)</f>
        <v>609</v>
      </c>
      <c r="I34" s="13">
        <f>ROUNDUP(B34*维护参数!$B$16/维护参数!$B$15/1000,0)*1000</f>
        <v>16000</v>
      </c>
      <c r="J34" s="13">
        <f>ROUNDUP(B34*维护参数!$B$17/维护参数!$B$15/10,0)*10</f>
        <v>160</v>
      </c>
      <c r="K34" s="13">
        <f>ROUNDUP(B34*维护参数!$B$18/维护参数!$B$15/10,0)*10</f>
        <v>160</v>
      </c>
      <c r="L34" s="13">
        <f>ROUNDUP(B34*维护参数!$B$19/维护参数!$B$15/10,0)*10</f>
        <v>240</v>
      </c>
      <c r="M34" s="12">
        <f>I34/1000*维护参数!$B$6+J34*维护参数!$B$7+K34*维护参数!$B$8+L34*维护参数!$B$9</f>
        <v>1152</v>
      </c>
      <c r="N34" s="12">
        <f>SUM(H34,M34)</f>
        <v>1761</v>
      </c>
      <c r="O34" s="14">
        <f t="shared" si="0"/>
        <v>0.376282051282051</v>
      </c>
      <c r="P34" s="12">
        <f t="shared" si="1"/>
        <v>2919</v>
      </c>
      <c r="Q34" s="14">
        <f>P34/(C34)</f>
        <v>0.623717948717949</v>
      </c>
      <c r="R34" s="12">
        <f>P34*维护参数!$B$20</f>
        <v>1897.35</v>
      </c>
      <c r="S34" s="14">
        <f>R34/(C34)</f>
        <v>0.405416666666667</v>
      </c>
      <c r="T34" s="2" t="s">
        <v>170</v>
      </c>
      <c r="U34" s="2" t="s">
        <v>198</v>
      </c>
    </row>
    <row r="35" ht="22" customHeight="1" spans="1:21">
      <c r="A35" s="2"/>
      <c r="B35" s="10"/>
      <c r="C35" s="10"/>
      <c r="D35" s="2" t="s">
        <v>167</v>
      </c>
      <c r="E35" s="10">
        <f>(B34)*(维护参数!$B$10)</f>
        <v>5460</v>
      </c>
      <c r="F35" s="11"/>
      <c r="G35" s="2" t="s">
        <v>168</v>
      </c>
      <c r="H35" s="12">
        <f>(MAX(维护参数!$B$5,ROUNDUP(F34/10000,0)))*(维护参数!$B$3)</f>
        <v>1595</v>
      </c>
      <c r="I35" s="13"/>
      <c r="J35" s="13"/>
      <c r="K35" s="13"/>
      <c r="L35" s="13"/>
      <c r="M35" s="12"/>
      <c r="N35" s="12">
        <f>SUM(H35,M34)</f>
        <v>2747</v>
      </c>
      <c r="O35" s="14">
        <f t="shared" si="0"/>
        <v>0.503113553113553</v>
      </c>
      <c r="P35" s="12">
        <f t="shared" si="1"/>
        <v>2713</v>
      </c>
      <c r="Q35" s="14">
        <f>P35/(B34)</f>
        <v>0.347820512820513</v>
      </c>
      <c r="R35" s="12">
        <f>P35*维护参数!$B$20</f>
        <v>1763.45</v>
      </c>
      <c r="S35" s="14">
        <f>R35/(B34)</f>
        <v>0.226083333333333</v>
      </c>
      <c r="T35" s="2"/>
      <c r="U35" s="2"/>
    </row>
    <row r="36" ht="22" customHeight="1" spans="1:21">
      <c r="A36" s="2" t="s">
        <v>199</v>
      </c>
      <c r="B36" s="10">
        <v>7400</v>
      </c>
      <c r="C36" s="10">
        <v>4440</v>
      </c>
      <c r="D36" s="2" t="s">
        <v>163</v>
      </c>
      <c r="E36" s="10">
        <f>(C36)*(1)</f>
        <v>4440</v>
      </c>
      <c r="F36" s="11">
        <f>ROUNDUP(B36*维护参数!$B$11/维护参数!$B$12*1000,0)</f>
        <v>271334</v>
      </c>
      <c r="G36" s="2" t="s">
        <v>164</v>
      </c>
      <c r="H36" s="12">
        <f>(MAX(维护参数!$B$4,ROUNDUP(F36/10000,0)))*(维护参数!$B$2)</f>
        <v>588</v>
      </c>
      <c r="I36" s="13">
        <f>ROUNDUP(B36*维护参数!$B$16/维护参数!$B$15/1000,0)*1000</f>
        <v>15000</v>
      </c>
      <c r="J36" s="13">
        <f>ROUNDUP(B36*维护参数!$B$17/维护参数!$B$15/10,0)*10</f>
        <v>150</v>
      </c>
      <c r="K36" s="13">
        <f>ROUNDUP(B36*维护参数!$B$18/维护参数!$B$15/10,0)*10</f>
        <v>150</v>
      </c>
      <c r="L36" s="13">
        <f>ROUNDUP(B36*维护参数!$B$19/维护参数!$B$15/10,0)*10</f>
        <v>230</v>
      </c>
      <c r="M36" s="12">
        <f>I36/1000*维护参数!$B$6+J36*维护参数!$B$7+K36*维护参数!$B$8+L36*维护参数!$B$9</f>
        <v>1081</v>
      </c>
      <c r="N36" s="12">
        <f>SUM(H36,M36)</f>
        <v>1669</v>
      </c>
      <c r="O36" s="14">
        <f t="shared" si="0"/>
        <v>0.375900900900901</v>
      </c>
      <c r="P36" s="12">
        <f t="shared" si="1"/>
        <v>2771</v>
      </c>
      <c r="Q36" s="14">
        <f>P36/(C36)</f>
        <v>0.624099099099099</v>
      </c>
      <c r="R36" s="12">
        <f>P36*维护参数!$B$20</f>
        <v>1801.15</v>
      </c>
      <c r="S36" s="14">
        <f>R36/(C36)</f>
        <v>0.405664414414414</v>
      </c>
      <c r="T36" s="2" t="s">
        <v>191</v>
      </c>
      <c r="U36" s="2" t="s">
        <v>200</v>
      </c>
    </row>
    <row r="37" ht="22" customHeight="1" spans="1:21">
      <c r="A37" s="2"/>
      <c r="B37" s="10"/>
      <c r="C37" s="10"/>
      <c r="D37" s="2" t="s">
        <v>167</v>
      </c>
      <c r="E37" s="10">
        <f>(B36)*(维护参数!$B$10)</f>
        <v>5180</v>
      </c>
      <c r="F37" s="11"/>
      <c r="G37" s="2" t="s">
        <v>168</v>
      </c>
      <c r="H37" s="12">
        <f>(MAX(维护参数!$B$5,ROUNDUP(F36/10000,0)))*(维护参数!$B$3)</f>
        <v>1540</v>
      </c>
      <c r="I37" s="13"/>
      <c r="J37" s="13"/>
      <c r="K37" s="13"/>
      <c r="L37" s="13"/>
      <c r="M37" s="12"/>
      <c r="N37" s="12">
        <f>SUM(H37,M36)</f>
        <v>2621</v>
      </c>
      <c r="O37" s="14">
        <f t="shared" si="0"/>
        <v>0.505984555984556</v>
      </c>
      <c r="P37" s="12">
        <f t="shared" si="1"/>
        <v>2559</v>
      </c>
      <c r="Q37" s="14">
        <f>P37/(B36)</f>
        <v>0.345810810810811</v>
      </c>
      <c r="R37" s="12">
        <f>P37*维护参数!$B$20</f>
        <v>1663.35</v>
      </c>
      <c r="S37" s="14">
        <f>R37/(B36)</f>
        <v>0.224777027027027</v>
      </c>
      <c r="T37" s="2"/>
      <c r="U37" s="2"/>
    </row>
    <row r="38" ht="22" customHeight="1" spans="1:21">
      <c r="A38" s="2" t="s">
        <v>201</v>
      </c>
      <c r="B38" s="10">
        <v>7000</v>
      </c>
      <c r="C38" s="10">
        <v>4200</v>
      </c>
      <c r="D38" s="2" t="s">
        <v>163</v>
      </c>
      <c r="E38" s="10">
        <f>(C38)*(1)</f>
        <v>4200</v>
      </c>
      <c r="F38" s="11">
        <f>ROUNDUP(B38*维护参数!$B$11/维护参数!$B$12*1000,0)</f>
        <v>256667</v>
      </c>
      <c r="G38" s="2" t="s">
        <v>164</v>
      </c>
      <c r="H38" s="12">
        <f>(MAX(维护参数!$B$4,ROUNDUP(F38/10000,0)))*(维护参数!$B$2)</f>
        <v>546</v>
      </c>
      <c r="I38" s="13">
        <f>ROUNDUP(B38*维护参数!$B$16/维护参数!$B$15/1000,0)*1000</f>
        <v>14000</v>
      </c>
      <c r="J38" s="13">
        <f>ROUNDUP(B38*维护参数!$B$17/维护参数!$B$15/10,0)*10</f>
        <v>140</v>
      </c>
      <c r="K38" s="13">
        <f>ROUNDUP(B38*维护参数!$B$18/维护参数!$B$15/10,0)*10</f>
        <v>140</v>
      </c>
      <c r="L38" s="13">
        <f>ROUNDUP(B38*维护参数!$B$19/维护参数!$B$15/10,0)*10</f>
        <v>210</v>
      </c>
      <c r="M38" s="12">
        <f>I38/1000*维护参数!$B$6+J38*维护参数!$B$7+K38*维护参数!$B$8+L38*维护参数!$B$9</f>
        <v>1008</v>
      </c>
      <c r="N38" s="12">
        <f>SUM(H38,M38)</f>
        <v>1554</v>
      </c>
      <c r="O38" s="14">
        <f t="shared" si="0"/>
        <v>0.37</v>
      </c>
      <c r="P38" s="12">
        <f t="shared" si="1"/>
        <v>2646</v>
      </c>
      <c r="Q38" s="14">
        <f>P38/(C38)</f>
        <v>0.63</v>
      </c>
      <c r="R38" s="12">
        <f>P38*维护参数!$B$20</f>
        <v>1719.9</v>
      </c>
      <c r="S38" s="14">
        <f>R38/(C38)</f>
        <v>0.4095</v>
      </c>
      <c r="T38" s="2" t="s">
        <v>191</v>
      </c>
      <c r="U38" s="2" t="s">
        <v>202</v>
      </c>
    </row>
    <row r="39" ht="22" customHeight="1" spans="1:21">
      <c r="A39" s="2"/>
      <c r="B39" s="10"/>
      <c r="C39" s="10"/>
      <c r="D39" s="2" t="s">
        <v>167</v>
      </c>
      <c r="E39" s="10">
        <f>(B38)*(维护参数!$B$10)</f>
        <v>4900</v>
      </c>
      <c r="F39" s="11"/>
      <c r="G39" s="2" t="s">
        <v>168</v>
      </c>
      <c r="H39" s="12">
        <f>(MAX(维护参数!$B$5,ROUNDUP(F38/10000,0)))*(维护参数!$B$3)</f>
        <v>1430</v>
      </c>
      <c r="I39" s="13"/>
      <c r="J39" s="13"/>
      <c r="K39" s="13"/>
      <c r="L39" s="13"/>
      <c r="M39" s="12"/>
      <c r="N39" s="12">
        <f>SUM(H39,M38)</f>
        <v>2438</v>
      </c>
      <c r="O39" s="14">
        <f t="shared" si="0"/>
        <v>0.497551020408163</v>
      </c>
      <c r="P39" s="12">
        <f t="shared" si="1"/>
        <v>2462</v>
      </c>
      <c r="Q39" s="14">
        <f>P39/(B38)</f>
        <v>0.351714285714286</v>
      </c>
      <c r="R39" s="12">
        <f>P39*维护参数!$B$20</f>
        <v>1600.3</v>
      </c>
      <c r="S39" s="14">
        <f>R39/(B38)</f>
        <v>0.228614285714286</v>
      </c>
      <c r="T39" s="2"/>
      <c r="U39" s="2"/>
    </row>
    <row r="40" ht="22" customHeight="1" spans="1:21">
      <c r="A40" s="2" t="s">
        <v>203</v>
      </c>
      <c r="B40" s="10">
        <v>5000</v>
      </c>
      <c r="C40" s="10">
        <v>3000</v>
      </c>
      <c r="D40" s="2" t="s">
        <v>163</v>
      </c>
      <c r="E40" s="10">
        <f>(C40)*(1)</f>
        <v>3000</v>
      </c>
      <c r="F40" s="11">
        <f>ROUNDUP(B40*维护参数!$B$11/维护参数!$B$12*1000,0)</f>
        <v>183334</v>
      </c>
      <c r="G40" s="2" t="s">
        <v>164</v>
      </c>
      <c r="H40" s="12">
        <f>(MAX(维护参数!$B$4,ROUNDUP(F40/10000,0)))*(维护参数!$B$2)</f>
        <v>399</v>
      </c>
      <c r="I40" s="13">
        <f>ROUNDUP(B40*维护参数!$B$16/维护参数!$B$15/1000,0)*1000</f>
        <v>10000</v>
      </c>
      <c r="J40" s="13">
        <f>ROUNDUP(B40*维护参数!$B$17/维护参数!$B$15/10,0)*10</f>
        <v>100</v>
      </c>
      <c r="K40" s="13">
        <f>ROUNDUP(B40*维护参数!$B$18/维护参数!$B$15/10,0)*10</f>
        <v>100</v>
      </c>
      <c r="L40" s="13">
        <f>ROUNDUP(B40*维护参数!$B$19/维护参数!$B$15/10,0)*10</f>
        <v>150</v>
      </c>
      <c r="M40" s="12">
        <f>I40/1000*维护参数!$B$6+J40*维护参数!$B$7+K40*维护参数!$B$8+L40*维护参数!$B$9</f>
        <v>720</v>
      </c>
      <c r="N40" s="12">
        <f>SUM(H40,M40)</f>
        <v>1119</v>
      </c>
      <c r="O40" s="14">
        <f t="shared" si="0"/>
        <v>0.373</v>
      </c>
      <c r="P40" s="12">
        <f t="shared" si="1"/>
        <v>1881</v>
      </c>
      <c r="Q40" s="14">
        <f>P40/(C40)</f>
        <v>0.627</v>
      </c>
      <c r="R40" s="12">
        <f>P40*维护参数!$B$20</f>
        <v>1222.65</v>
      </c>
      <c r="S40" s="14">
        <f>R40/(C40)</f>
        <v>0.40755</v>
      </c>
      <c r="T40" s="2" t="s">
        <v>170</v>
      </c>
      <c r="U40" s="2" t="s">
        <v>204</v>
      </c>
    </row>
    <row r="41" ht="22" customHeight="1" spans="1:21">
      <c r="A41" s="2"/>
      <c r="B41" s="10"/>
      <c r="C41" s="10"/>
      <c r="D41" s="2" t="s">
        <v>167</v>
      </c>
      <c r="E41" s="10">
        <f>(B40)*(维护参数!$B$10)</f>
        <v>3500</v>
      </c>
      <c r="F41" s="11"/>
      <c r="G41" s="2" t="s">
        <v>168</v>
      </c>
      <c r="H41" s="12">
        <f>(MAX(维护参数!$B$5,ROUNDUP(F40/10000,0)))*(维护参数!$B$3)</f>
        <v>1045</v>
      </c>
      <c r="I41" s="13"/>
      <c r="J41" s="13"/>
      <c r="K41" s="13"/>
      <c r="L41" s="13"/>
      <c r="M41" s="12"/>
      <c r="N41" s="12">
        <f>SUM(H41,M40)</f>
        <v>1765</v>
      </c>
      <c r="O41" s="14">
        <f t="shared" si="0"/>
        <v>0.504285714285714</v>
      </c>
      <c r="P41" s="12">
        <f t="shared" si="1"/>
        <v>1735</v>
      </c>
      <c r="Q41" s="14">
        <f>P41/(B40)</f>
        <v>0.347</v>
      </c>
      <c r="R41" s="12">
        <f>P41*维护参数!$B$20</f>
        <v>1127.75</v>
      </c>
      <c r="S41" s="14">
        <f>R41/(B40)</f>
        <v>0.22555</v>
      </c>
      <c r="T41" s="2"/>
      <c r="U41" s="2"/>
    </row>
    <row r="42" ht="22" customHeight="1" spans="1:21">
      <c r="A42" s="2" t="s">
        <v>205</v>
      </c>
      <c r="B42" s="10">
        <v>5000</v>
      </c>
      <c r="C42" s="10">
        <v>3000</v>
      </c>
      <c r="D42" s="2" t="s">
        <v>163</v>
      </c>
      <c r="E42" s="10">
        <f>(C42)*(1)</f>
        <v>3000</v>
      </c>
      <c r="F42" s="11">
        <f>ROUNDUP(B42*维护参数!$B$11/维护参数!$B$12*1000,0)</f>
        <v>183334</v>
      </c>
      <c r="G42" s="2" t="s">
        <v>164</v>
      </c>
      <c r="H42" s="12">
        <f>(MAX(维护参数!$B$4,ROUNDUP(F42/10000,0)))*(维护参数!$B$2)</f>
        <v>399</v>
      </c>
      <c r="I42" s="13">
        <f>ROUNDUP(B42*维护参数!$B$16/维护参数!$B$15/1000,0)*1000</f>
        <v>10000</v>
      </c>
      <c r="J42" s="13">
        <f>ROUNDUP(B42*维护参数!$B$17/维护参数!$B$15/10,0)*10</f>
        <v>100</v>
      </c>
      <c r="K42" s="13">
        <f>ROUNDUP(B42*维护参数!$B$18/维护参数!$B$15/10,0)*10</f>
        <v>100</v>
      </c>
      <c r="L42" s="13">
        <f>ROUNDUP(B42*维护参数!$B$19/维护参数!$B$15/10,0)*10</f>
        <v>150</v>
      </c>
      <c r="M42" s="12">
        <f>I42/1000*维护参数!$B$6+J42*维护参数!$B$7+K42*维护参数!$B$8+L42*维护参数!$B$9</f>
        <v>720</v>
      </c>
      <c r="N42" s="12">
        <f>SUM(H42,M42)</f>
        <v>1119</v>
      </c>
      <c r="O42" s="14">
        <f t="shared" si="0"/>
        <v>0.373</v>
      </c>
      <c r="P42" s="12">
        <f t="shared" si="1"/>
        <v>1881</v>
      </c>
      <c r="Q42" s="14">
        <f>P42/(C42)</f>
        <v>0.627</v>
      </c>
      <c r="R42" s="12">
        <f>P42*维护参数!$B$20</f>
        <v>1222.65</v>
      </c>
      <c r="S42" s="14">
        <f>R42/(C42)</f>
        <v>0.40755</v>
      </c>
      <c r="T42" s="2" t="s">
        <v>170</v>
      </c>
      <c r="U42" s="2" t="s">
        <v>206</v>
      </c>
    </row>
    <row r="43" ht="22" customHeight="1" spans="1:21">
      <c r="A43" s="2"/>
      <c r="B43" s="10"/>
      <c r="C43" s="10"/>
      <c r="D43" s="2" t="s">
        <v>167</v>
      </c>
      <c r="E43" s="10">
        <f>(B42)*(维护参数!$B$10)</f>
        <v>3500</v>
      </c>
      <c r="F43" s="11"/>
      <c r="G43" s="2" t="s">
        <v>168</v>
      </c>
      <c r="H43" s="12">
        <f>(MAX(维护参数!$B$5,ROUNDUP(F42/10000,0)))*(维护参数!$B$3)</f>
        <v>1045</v>
      </c>
      <c r="I43" s="13"/>
      <c r="J43" s="13"/>
      <c r="K43" s="13"/>
      <c r="L43" s="13"/>
      <c r="M43" s="12"/>
      <c r="N43" s="12">
        <f>SUM(H43,M42)</f>
        <v>1765</v>
      </c>
      <c r="O43" s="14">
        <f t="shared" si="0"/>
        <v>0.504285714285714</v>
      </c>
      <c r="P43" s="12">
        <f t="shared" si="1"/>
        <v>1735</v>
      </c>
      <c r="Q43" s="14">
        <f>P43/(B42)</f>
        <v>0.347</v>
      </c>
      <c r="R43" s="12">
        <f>P43*维护参数!$B$20</f>
        <v>1127.75</v>
      </c>
      <c r="S43" s="14">
        <f>R43/(B42)</f>
        <v>0.22555</v>
      </c>
      <c r="T43" s="2"/>
      <c r="U43" s="2"/>
    </row>
    <row r="44" ht="22" customHeight="1" spans="1:21">
      <c r="A44" s="2" t="s">
        <v>207</v>
      </c>
      <c r="B44" s="10">
        <v>5000</v>
      </c>
      <c r="C44" s="10">
        <v>3000</v>
      </c>
      <c r="D44" s="2" t="s">
        <v>163</v>
      </c>
      <c r="E44" s="10">
        <f>(C44)*(1)</f>
        <v>3000</v>
      </c>
      <c r="F44" s="11">
        <f>ROUNDUP(B44*维护参数!$B$11/维护参数!$B$12*1000,0)</f>
        <v>183334</v>
      </c>
      <c r="G44" s="2" t="s">
        <v>164</v>
      </c>
      <c r="H44" s="12">
        <f>(MAX(维护参数!$B$4,ROUNDUP(F44/10000,0)))*(维护参数!$B$2)</f>
        <v>399</v>
      </c>
      <c r="I44" s="13">
        <f>ROUNDUP(B44*维护参数!$B$16/维护参数!$B$15/1000,0)*1000</f>
        <v>10000</v>
      </c>
      <c r="J44" s="13">
        <f>ROUNDUP(B44*维护参数!$B$17/维护参数!$B$15/10,0)*10</f>
        <v>100</v>
      </c>
      <c r="K44" s="13">
        <f>ROUNDUP(B44*维护参数!$B$18/维护参数!$B$15/10,0)*10</f>
        <v>100</v>
      </c>
      <c r="L44" s="13">
        <f>ROUNDUP(B44*维护参数!$B$19/维护参数!$B$15/10,0)*10</f>
        <v>150</v>
      </c>
      <c r="M44" s="12">
        <f>I44/1000*维护参数!$B$6+J44*维护参数!$B$7+K44*维护参数!$B$8+L44*维护参数!$B$9</f>
        <v>720</v>
      </c>
      <c r="N44" s="12">
        <f>SUM(H44,M44)</f>
        <v>1119</v>
      </c>
      <c r="O44" s="14">
        <f t="shared" si="0"/>
        <v>0.373</v>
      </c>
      <c r="P44" s="12">
        <f t="shared" si="1"/>
        <v>1881</v>
      </c>
      <c r="Q44" s="14">
        <f>P44/(C44)</f>
        <v>0.627</v>
      </c>
      <c r="R44" s="12">
        <f>P44*维护参数!$B$20</f>
        <v>1222.65</v>
      </c>
      <c r="S44" s="14">
        <f>R44/(C44)</f>
        <v>0.40755</v>
      </c>
      <c r="T44" s="2" t="s">
        <v>170</v>
      </c>
      <c r="U44" s="2" t="s">
        <v>208</v>
      </c>
    </row>
    <row r="45" ht="22" customHeight="1" spans="1:21">
      <c r="A45" s="2"/>
      <c r="B45" s="10"/>
      <c r="C45" s="10"/>
      <c r="D45" s="2" t="s">
        <v>167</v>
      </c>
      <c r="E45" s="10">
        <f>(B44)*(维护参数!$B$10)</f>
        <v>3500</v>
      </c>
      <c r="F45" s="11"/>
      <c r="G45" s="2" t="s">
        <v>168</v>
      </c>
      <c r="H45" s="12">
        <f>(MAX(维护参数!$B$5,ROUNDUP(F44/10000,0)))*(维护参数!$B$3)</f>
        <v>1045</v>
      </c>
      <c r="I45" s="13"/>
      <c r="J45" s="13"/>
      <c r="K45" s="13"/>
      <c r="L45" s="13"/>
      <c r="M45" s="12"/>
      <c r="N45" s="12">
        <f>SUM(H45,M44)</f>
        <v>1765</v>
      </c>
      <c r="O45" s="14">
        <f t="shared" si="0"/>
        <v>0.504285714285714</v>
      </c>
      <c r="P45" s="12">
        <f t="shared" si="1"/>
        <v>1735</v>
      </c>
      <c r="Q45" s="14">
        <f>P45/(B44)</f>
        <v>0.347</v>
      </c>
      <c r="R45" s="12">
        <f>P45*维护参数!$B$20</f>
        <v>1127.75</v>
      </c>
      <c r="S45" s="14">
        <f>R45/(B44)</f>
        <v>0.22555</v>
      </c>
      <c r="T45" s="2"/>
      <c r="U45" s="2"/>
    </row>
    <row r="46" ht="22" customHeight="1" spans="1:21">
      <c r="A46" s="2" t="s">
        <v>209</v>
      </c>
      <c r="B46" s="10">
        <v>5000</v>
      </c>
      <c r="C46" s="10">
        <v>3000</v>
      </c>
      <c r="D46" s="2" t="s">
        <v>163</v>
      </c>
      <c r="E46" s="10">
        <f>(C46)*(1)</f>
        <v>3000</v>
      </c>
      <c r="F46" s="11">
        <f>ROUNDUP(B46*维护参数!$B$11/维护参数!$B$12*1000,0)</f>
        <v>183334</v>
      </c>
      <c r="G46" s="2" t="s">
        <v>164</v>
      </c>
      <c r="H46" s="12">
        <f>(MAX(维护参数!$B$4,ROUNDUP(F46/10000,0)))*(维护参数!$B$2)</f>
        <v>399</v>
      </c>
      <c r="I46" s="13">
        <f>ROUNDUP(B46*维护参数!$B$16/维护参数!$B$15/1000,0)*1000</f>
        <v>10000</v>
      </c>
      <c r="J46" s="13">
        <f>ROUNDUP(B46*维护参数!$B$17/维护参数!$B$15/10,0)*10</f>
        <v>100</v>
      </c>
      <c r="K46" s="13">
        <f>ROUNDUP(B46*维护参数!$B$18/维护参数!$B$15/10,0)*10</f>
        <v>100</v>
      </c>
      <c r="L46" s="13">
        <f>ROUNDUP(B46*维护参数!$B$19/维护参数!$B$15/10,0)*10</f>
        <v>150</v>
      </c>
      <c r="M46" s="12">
        <f>I46/1000*维护参数!$B$6+J46*维护参数!$B$7+K46*维护参数!$B$8+L46*维护参数!$B$9</f>
        <v>720</v>
      </c>
      <c r="N46" s="12">
        <f>SUM(H46,M46)</f>
        <v>1119</v>
      </c>
      <c r="O46" s="14">
        <f t="shared" si="0"/>
        <v>0.373</v>
      </c>
      <c r="P46" s="12">
        <f t="shared" si="1"/>
        <v>1881</v>
      </c>
      <c r="Q46" s="14">
        <f>P46/(C46)</f>
        <v>0.627</v>
      </c>
      <c r="R46" s="12">
        <f>P46*维护参数!$B$20</f>
        <v>1222.65</v>
      </c>
      <c r="S46" s="14">
        <f>R46/(C46)</f>
        <v>0.40755</v>
      </c>
      <c r="T46" s="2" t="s">
        <v>170</v>
      </c>
      <c r="U46" s="2" t="s">
        <v>210</v>
      </c>
    </row>
    <row r="47" ht="22" customHeight="1" spans="1:21">
      <c r="A47" s="2"/>
      <c r="B47" s="10"/>
      <c r="C47" s="10"/>
      <c r="D47" s="2" t="s">
        <v>167</v>
      </c>
      <c r="E47" s="10">
        <f>(B46)*(维护参数!$B$10)</f>
        <v>3500</v>
      </c>
      <c r="F47" s="11"/>
      <c r="G47" s="2" t="s">
        <v>168</v>
      </c>
      <c r="H47" s="12">
        <f>(MAX(维护参数!$B$5,ROUNDUP(F46/10000,0)))*(维护参数!$B$3)</f>
        <v>1045</v>
      </c>
      <c r="I47" s="13"/>
      <c r="J47" s="13"/>
      <c r="K47" s="13"/>
      <c r="L47" s="13"/>
      <c r="M47" s="12"/>
      <c r="N47" s="12">
        <f>SUM(H47,M46)</f>
        <v>1765</v>
      </c>
      <c r="O47" s="14">
        <f t="shared" si="0"/>
        <v>0.504285714285714</v>
      </c>
      <c r="P47" s="12">
        <f t="shared" si="1"/>
        <v>1735</v>
      </c>
      <c r="Q47" s="14">
        <f>P47/(B46)</f>
        <v>0.347</v>
      </c>
      <c r="R47" s="12">
        <f>P47*维护参数!$B$20</f>
        <v>1127.75</v>
      </c>
      <c r="S47" s="14">
        <f>R47/(B46)</f>
        <v>0.22555</v>
      </c>
      <c r="T47" s="2"/>
      <c r="U47" s="2"/>
    </row>
    <row r="48" ht="22" customHeight="1" spans="1:21">
      <c r="A48" s="2" t="s">
        <v>211</v>
      </c>
      <c r="B48" s="10">
        <v>5500</v>
      </c>
      <c r="C48" s="10">
        <v>3300</v>
      </c>
      <c r="D48" s="2" t="s">
        <v>163</v>
      </c>
      <c r="E48" s="10">
        <f>(C48)*(1)</f>
        <v>3300</v>
      </c>
      <c r="F48" s="11">
        <f>ROUNDUP(B48*维护参数!$B$11/维护参数!$B$12*1000,0)</f>
        <v>201667</v>
      </c>
      <c r="G48" s="2" t="s">
        <v>164</v>
      </c>
      <c r="H48" s="12">
        <f>(MAX(维护参数!$B$4,ROUNDUP(F48/10000,0)))*(维护参数!$B$2)</f>
        <v>441</v>
      </c>
      <c r="I48" s="13">
        <f>ROUNDUP(B48*维护参数!$B$16/维护参数!$B$15/1000,0)*1000</f>
        <v>11000</v>
      </c>
      <c r="J48" s="13">
        <f>ROUNDUP(B48*维护参数!$B$17/维护参数!$B$15/10,0)*10</f>
        <v>110</v>
      </c>
      <c r="K48" s="13">
        <f>ROUNDUP(B48*维护参数!$B$18/维护参数!$B$15/10,0)*10</f>
        <v>110</v>
      </c>
      <c r="L48" s="13">
        <f>ROUNDUP(B48*维护参数!$B$19/维护参数!$B$15/10,0)*10</f>
        <v>170</v>
      </c>
      <c r="M48" s="12">
        <f>I48/1000*维护参数!$B$6+J48*维护参数!$B$7+K48*维护参数!$B$8+L48*维护参数!$B$9</f>
        <v>793</v>
      </c>
      <c r="N48" s="12">
        <f>SUM(H48,M48)</f>
        <v>1234</v>
      </c>
      <c r="O48" s="14">
        <f t="shared" si="0"/>
        <v>0.373939393939394</v>
      </c>
      <c r="P48" s="12">
        <f t="shared" si="1"/>
        <v>2066</v>
      </c>
      <c r="Q48" s="14">
        <f>P48/(C48)</f>
        <v>0.626060606060606</v>
      </c>
      <c r="R48" s="12">
        <f>P48*维护参数!$B$20</f>
        <v>1342.9</v>
      </c>
      <c r="S48" s="14">
        <f>R48/(C48)</f>
        <v>0.406939393939394</v>
      </c>
      <c r="T48" s="2" t="s">
        <v>191</v>
      </c>
      <c r="U48" s="2" t="s">
        <v>212</v>
      </c>
    </row>
    <row r="49" ht="22" customHeight="1" spans="1:21">
      <c r="A49" s="2"/>
      <c r="B49" s="10"/>
      <c r="C49" s="10"/>
      <c r="D49" s="2" t="s">
        <v>167</v>
      </c>
      <c r="E49" s="10">
        <f>(B48)*(维护参数!$B$10)</f>
        <v>3850</v>
      </c>
      <c r="F49" s="11"/>
      <c r="G49" s="2" t="s">
        <v>168</v>
      </c>
      <c r="H49" s="12">
        <f>(MAX(维护参数!$B$5,ROUNDUP(F48/10000,0)))*(维护参数!$B$3)</f>
        <v>1155</v>
      </c>
      <c r="I49" s="13"/>
      <c r="J49" s="13"/>
      <c r="K49" s="13"/>
      <c r="L49" s="13"/>
      <c r="M49" s="12"/>
      <c r="N49" s="12">
        <f>SUM(H49,M48)</f>
        <v>1948</v>
      </c>
      <c r="O49" s="14">
        <f t="shared" si="0"/>
        <v>0.505974025974026</v>
      </c>
      <c r="P49" s="12">
        <f t="shared" si="1"/>
        <v>1902</v>
      </c>
      <c r="Q49" s="14">
        <f>P49/(B48)</f>
        <v>0.345818181818182</v>
      </c>
      <c r="R49" s="12">
        <f>P49*维护参数!$B$20</f>
        <v>1236.3</v>
      </c>
      <c r="S49" s="14">
        <f>R49/(B48)</f>
        <v>0.224781818181818</v>
      </c>
      <c r="T49" s="2"/>
      <c r="U49" s="2"/>
    </row>
    <row r="50" ht="25" customHeight="1"/>
    <row r="51" ht="25" customHeight="1"/>
  </sheetData>
  <mergeCells count="222">
    <mergeCell ref="A1:U1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T10:T11"/>
    <mergeCell ref="T12:T13"/>
    <mergeCell ref="T14:T15"/>
    <mergeCell ref="T16:T17"/>
    <mergeCell ref="T18:T19"/>
    <mergeCell ref="T20:T21"/>
    <mergeCell ref="T22:T23"/>
    <mergeCell ref="T24:T25"/>
    <mergeCell ref="T26:T27"/>
    <mergeCell ref="T28:T29"/>
    <mergeCell ref="T30:T31"/>
    <mergeCell ref="T32:T33"/>
    <mergeCell ref="T34:T35"/>
    <mergeCell ref="T36:T37"/>
    <mergeCell ref="T38:T39"/>
    <mergeCell ref="T40:T41"/>
    <mergeCell ref="T42:T43"/>
    <mergeCell ref="T44:T45"/>
    <mergeCell ref="T46:T47"/>
    <mergeCell ref="T48:T4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U46:U47"/>
    <mergeCell ref="U48:U49"/>
    <mergeCell ref="A2:U7"/>
  </mergeCells>
  <pageMargins left="0.7" right="0.7" top="0.75" bottom="0.75" header="0.3" footer="0.3"/>
  <headerFooter/>
  <ignoredErrors>
    <ignoredError sqref="A1:Z1 B2:Z2 A3:Z8 A9:H9 M9:P9 R9:Z12 A10:E10 G10:P10 A11:P13 S13:Z13 A14:Z17 A18:H18 J18:Z18 A19:Z25 A26:E26 G26 I26:Z26 A27:Z4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workbookViewId="0">
      <selection activeCell="B12" sqref="B12"/>
    </sheetView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ht="30" customHeight="1" spans="1:3">
      <c r="A1" s="1" t="s">
        <v>213</v>
      </c>
      <c r="B1" s="1" t="s">
        <v>214</v>
      </c>
      <c r="C1" s="1" t="s">
        <v>215</v>
      </c>
    </row>
    <row r="2" ht="24" customHeight="1" spans="1:3">
      <c r="A2" s="2" t="s">
        <v>216</v>
      </c>
      <c r="B2" s="2">
        <v>21</v>
      </c>
      <c r="C2" s="2" t="s">
        <v>217</v>
      </c>
    </row>
    <row r="3" ht="24" customHeight="1" spans="1:3">
      <c r="A3" s="2" t="s">
        <v>218</v>
      </c>
      <c r="B3" s="2">
        <v>55</v>
      </c>
      <c r="C3" s="2" t="s">
        <v>217</v>
      </c>
    </row>
    <row r="4" ht="24" customHeight="1" spans="1:3">
      <c r="A4" s="2" t="s">
        <v>219</v>
      </c>
      <c r="B4" s="2">
        <v>10</v>
      </c>
      <c r="C4" s="2" t="s">
        <v>220</v>
      </c>
    </row>
    <row r="5" ht="24" customHeight="1" spans="1:3">
      <c r="A5" s="2" t="s">
        <v>221</v>
      </c>
      <c r="B5" s="2">
        <v>5</v>
      </c>
      <c r="C5" s="2" t="s">
        <v>220</v>
      </c>
    </row>
    <row r="6" ht="24" customHeight="1" spans="1:3">
      <c r="A6" s="2" t="s">
        <v>222</v>
      </c>
      <c r="B6" s="2">
        <v>60</v>
      </c>
      <c r="C6" s="2" t="s">
        <v>223</v>
      </c>
    </row>
    <row r="7" ht="24" customHeight="1" spans="1:3">
      <c r="A7" s="2" t="s">
        <v>224</v>
      </c>
      <c r="B7" s="2">
        <v>0.8</v>
      </c>
      <c r="C7" s="2" t="s">
        <v>225</v>
      </c>
    </row>
    <row r="8" ht="24" customHeight="1" spans="1:3">
      <c r="A8" s="2" t="s">
        <v>151</v>
      </c>
      <c r="B8" s="2">
        <v>0.1</v>
      </c>
      <c r="C8" s="2" t="s">
        <v>225</v>
      </c>
    </row>
    <row r="9" ht="24" customHeight="1" spans="1:3">
      <c r="A9" s="2" t="s">
        <v>152</v>
      </c>
      <c r="B9" s="2">
        <v>0.2</v>
      </c>
      <c r="C9" s="2" t="s">
        <v>225</v>
      </c>
    </row>
    <row r="10" ht="24" customHeight="1" spans="1:3">
      <c r="A10" s="2" t="s">
        <v>226</v>
      </c>
      <c r="B10" s="2">
        <v>0.7</v>
      </c>
      <c r="C10" s="2" t="s">
        <v>227</v>
      </c>
    </row>
    <row r="11" ht="24" customHeight="1" spans="1:3">
      <c r="A11" s="2" t="s">
        <v>228</v>
      </c>
      <c r="B11" s="2">
        <v>1.1</v>
      </c>
      <c r="C11" s="2" t="s">
        <v>229</v>
      </c>
    </row>
    <row r="12" ht="24" customHeight="1" spans="1:3">
      <c r="A12" s="2" t="s">
        <v>230</v>
      </c>
      <c r="B12" s="2">
        <v>30</v>
      </c>
      <c r="C12" s="2" t="s">
        <v>231</v>
      </c>
    </row>
    <row r="13" ht="24" customHeight="1" spans="1:3">
      <c r="A13" s="2" t="s">
        <v>232</v>
      </c>
      <c r="B13" s="2">
        <v>200</v>
      </c>
      <c r="C13" s="2" t="s">
        <v>233</v>
      </c>
    </row>
    <row r="14" ht="24" customHeight="1" spans="1:3">
      <c r="A14" s="2" t="s">
        <v>234</v>
      </c>
      <c r="B14" s="2">
        <v>1.5</v>
      </c>
      <c r="C14" s="2" t="s">
        <v>233</v>
      </c>
    </row>
    <row r="15" ht="24" customHeight="1" spans="1:3">
      <c r="A15" s="2" t="s">
        <v>235</v>
      </c>
      <c r="B15" s="2">
        <v>10000</v>
      </c>
      <c r="C15" s="2" t="s">
        <v>236</v>
      </c>
    </row>
    <row r="16" ht="24" customHeight="1" spans="1:3">
      <c r="A16" s="2" t="s">
        <v>237</v>
      </c>
      <c r="B16" s="2">
        <v>20000</v>
      </c>
      <c r="C16" s="2" t="s">
        <v>238</v>
      </c>
    </row>
    <row r="17" ht="24" customHeight="1" spans="1:10">
      <c r="A17" s="2" t="s">
        <v>239</v>
      </c>
      <c r="B17" s="2">
        <v>200</v>
      </c>
      <c r="C17" s="2" t="s">
        <v>240</v>
      </c>
    </row>
    <row r="18" ht="24" customHeight="1" spans="1:10">
      <c r="A18" s="2" t="s">
        <v>241</v>
      </c>
      <c r="B18" s="2">
        <v>200</v>
      </c>
      <c r="C18" s="2" t="s">
        <v>240</v>
      </c>
    </row>
    <row r="19" ht="24" customHeight="1" spans="1:10">
      <c r="A19" s="2" t="s">
        <v>242</v>
      </c>
      <c r="B19" s="2">
        <v>300</v>
      </c>
      <c r="C19" s="2" t="s">
        <v>240</v>
      </c>
    </row>
    <row r="20" ht="24" customHeight="1" spans="1:10">
      <c r="A20" s="2" t="s">
        <v>243</v>
      </c>
      <c r="B20" s="2">
        <v>0.65</v>
      </c>
      <c r="C20" s="2" t="s">
        <v>244</v>
      </c>
    </row>
    <row r="23" ht="30" customHeight="1" spans="1:10">
      <c r="A23" s="1" t="s">
        <v>245</v>
      </c>
      <c r="B23" s="1"/>
      <c r="C23" s="1"/>
      <c r="D23" s="1"/>
      <c r="E23" s="1"/>
      <c r="F23" s="1"/>
      <c r="G23" s="1"/>
      <c r="H23" s="1"/>
      <c r="I23" s="1"/>
      <c r="J23" s="1"/>
    </row>
    <row r="24" ht="30" customHeight="1" spans="1:10">
      <c r="A24" s="3" t="s">
        <v>246</v>
      </c>
      <c r="B24" s="3"/>
      <c r="C24" s="3"/>
      <c r="D24" s="3"/>
      <c r="E24" s="3"/>
      <c r="F24" s="3"/>
      <c r="G24" s="3"/>
      <c r="H24" s="3"/>
      <c r="I24" s="3"/>
      <c r="J24" s="3"/>
    </row>
    <row r="25" ht="30" customHeight="1" spans="1:10">
      <c r="A25" s="3" t="s">
        <v>247</v>
      </c>
      <c r="B25" s="3"/>
      <c r="C25" s="3"/>
      <c r="D25" s="3"/>
      <c r="E25" s="3"/>
      <c r="F25" s="3"/>
      <c r="G25" s="3"/>
      <c r="H25" s="3"/>
      <c r="I25" s="3"/>
      <c r="J25" s="3"/>
    </row>
    <row r="26" ht="30" customHeight="1" spans="1:10">
      <c r="A26" s="3" t="s">
        <v>248</v>
      </c>
      <c r="B26" s="3"/>
      <c r="C26" s="3"/>
      <c r="D26" s="3"/>
      <c r="E26" s="3"/>
      <c r="F26" s="3"/>
      <c r="G26" s="3"/>
      <c r="H26" s="3"/>
      <c r="I26" s="3"/>
      <c r="J26" s="3"/>
    </row>
    <row r="27" ht="30" customHeight="1" spans="1:10">
      <c r="A27" s="3" t="s">
        <v>249</v>
      </c>
      <c r="B27" s="3"/>
      <c r="C27" s="3"/>
      <c r="D27" s="3"/>
      <c r="E27" s="3"/>
      <c r="F27" s="3"/>
      <c r="G27" s="3"/>
      <c r="H27" s="3"/>
      <c r="I27" s="3"/>
      <c r="J27" s="3"/>
    </row>
    <row r="28" ht="30" customHeight="1" spans="1:10">
      <c r="A28" s="3" t="s">
        <v>250</v>
      </c>
      <c r="B28" s="3"/>
      <c r="C28" s="3"/>
      <c r="D28" s="3"/>
      <c r="E28" s="3"/>
      <c r="F28" s="3"/>
      <c r="G28" s="3"/>
      <c r="H28" s="3"/>
      <c r="I28" s="3"/>
      <c r="J28" s="3"/>
    </row>
    <row r="29" ht="30" customHeight="1" spans="1:10">
      <c r="A29" s="3" t="s">
        <v>251</v>
      </c>
      <c r="B29" s="3"/>
      <c r="C29" s="3"/>
      <c r="D29" s="3"/>
      <c r="E29" s="3"/>
      <c r="F29" s="3"/>
      <c r="G29" s="3"/>
      <c r="H29" s="3"/>
      <c r="I29" s="3"/>
      <c r="J29" s="3"/>
    </row>
    <row r="30" ht="30" customHeight="1" spans="1:10">
      <c r="A30" s="3" t="s">
        <v>252</v>
      </c>
      <c r="B30" s="3"/>
      <c r="C30" s="3"/>
      <c r="D30" s="3"/>
      <c r="E30" s="3"/>
      <c r="F30" s="3"/>
      <c r="G30" s="3"/>
      <c r="H30" s="3"/>
      <c r="I30" s="3"/>
      <c r="J30" s="3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维护标准</vt:lpstr>
      <vt:lpstr>需补DOU+</vt:lpstr>
      <vt:lpstr>抖音小号维护标准</vt:lpstr>
      <vt:lpstr>维护参数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</cp:lastModifiedBy>
  <dcterms:created xsi:type="dcterms:W3CDTF">2026-09-16T05:03:00Z</dcterms:created>
  <dcterms:modified xsi:type="dcterms:W3CDTF">2026-09-15T22:00:35Z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0CDB1E648DF43360834FA96A79A23066_42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