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2"/>
  </bookViews>
  <sheets>
    <sheet name="维护标准" sheetId="1" r:id="rId3"/>
    <sheet name="需补DOU+" sheetId="2" r:id="rId4"/>
    <sheet name="抖音小号维护标准" sheetId="3" r:id="rIdSmallAccount"/>
  </sheets>
  <calcPr/>
</workbook>
</file>

<file path=xl/sharedStrings.xml><?xml version="1.0" encoding="utf-8"?>
<sst xmlns="http://schemas.openxmlformats.org/spreadsheetml/2006/main" count="141" uniqueCount="141">
  <si>
    <t/>
  </si>
  <si>
    <t>【MCN事业部】自孵化账号维护标准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</si>
  <si>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</si>
  <si>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账号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</si>
  <si>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</si>
  <si>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</si>
  <si>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</si>
  <si>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</si>
  <si>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</si>
  <si>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</si>
  <si>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</si>
  <si>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</si>
  <si>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</si>
  <si>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</si>
  <si>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</si>
  <si>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</si>
  <si>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</si>
  <si>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</si>
  <si>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</si>
  <si>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</si>
  <si>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</si>
  <si>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</si>
  <si>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</si>
  <si>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</si>
  <si>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外显CPM</t>
  </si>
  <si>
    <t>播放中位数</t>
  </si>
  <si>
    <t>外显CPM（排营销）</t>
  </si>
  <si>
    <t>播放中位数（排营销）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</si>
  <si>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</si>
  <si>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</si>
  <si>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</si>
  <si>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</si>
  <si>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</si>
  <si>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</si>
  <si>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</si>
  <si>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s</t>
  </si>
  <si>
    <t>序号</t>
  </si>
  <si>
    <t>商单</t>
  </si>
  <si>
    <t>发布链接</t>
  </si>
  <si>
    <t>是否为星图单</t>
  </si>
  <si>
    <t>已投成本</t>
  </si>
  <si>
    <t>播放量
（只算自然量加doui+）</t>
  </si>
  <si>
    <t>需补dou+</t>
  </si>
  <si>
    <t>发起申请</t>
  </si>
  <si>
    <t>投放</t>
  </si>
  <si>
    <t>昵称</t>
  </si>
  <si>
    <t>条数</t>
  </si>
  <si>
    <t>金额</t>
  </si>
  <si>
    <t>营销标的</t>
  </si>
  <si>
    <t>预期播Cpm
维护后预估（一个月后）</t>
  </si>
  <si>
    <t>千川</t>
  </si>
  <si>
    <t>dou+</t>
  </si>
  <si>
    <t>合计</t>
  </si>
  <si>
    <t>穿越火线</t>
  </si>
  <si>
    <t>否</t>
  </si>
  <si>
    <t>/</t>
  </si>
  <si>
    <t>新天龙八部、三国火凤燎原</t>
  </si>
  <si>
    <t>仙遇</t>
  </si>
  <si>
    <t>三国志王道天下、新天龙八部</t>
  </si>
  <si>
    <t>雾海之下</t>
  </si>
  <si>
    <t>仙遇、应用宝</t>
  </si>
  <si>
    <t>疯狂水世界</t>
  </si>
  <si>
    <t>是</t>
  </si>
  <si>
    <t>三角洲行动、三国火凤燎原</t>
  </si>
  <si>
    <t>天龙八部</t>
  </si>
  <si>
    <t>向末日开炮、新天龙八部</t>
  </si>
  <si>
    <t>三国火凤燎原</t>
  </si>
  <si>
    <t>ROG</t>
  </si>
  <si>
    <t>雅迪x绝区零</t>
  </si>
  <si>
    <t>三国志王道天下</t>
  </si>
  <si>
    <t>新大话西游</t>
  </si>
  <si>
    <t>IQOO</t>
  </si>
  <si>
    <t>率土之滨</t>
  </si>
  <si>
    <t>未发</t>
  </si>
  <si>
    <t>下阶段报价</t>
  </si>
  <si>
    <t xml:space="preserve">目标星图中位数
</t>
  </si>
  <si>
    <t>三国志：王道天下</t>
  </si>
  <si>
    <t>新天龙八部</t>
  </si>
  <si>
    <t>违规不投流</t>
  </si>
  <si>
    <t>appstore</t>
  </si>
  <si>
    <t>时空猎人:觉醒</t>
  </si>
  <si>
    <t>鸿蒙CJ</t>
  </si>
  <si>
    <t>dnf应用宝</t>
  </si>
  <si>
    <t>IQOO抖音电商开学季</t>
  </si>
  <si>
    <t>rog</t>
  </si>
  <si>
    <t>三角洲行动安全专项（保密项目）</t>
  </si>
  <si>
    <t>金铲铲之战</t>
  </si>
  <si>
    <t>三角洲行动PC</t>
  </si>
  <si>
    <t>三角洲行动</t>
  </si>
  <si>
    <t>5.8w</t>
  </si>
  <si>
    <t>17.2w</t>
  </si>
  <si>
    <t>5.2w</t>
  </si>
  <si>
    <t>王者万象棋</t>
  </si>
  <si>
    <t>5w</t>
  </si>
  <si>
    <t>仙遇cj</t>
  </si>
  <si>
    <t>向末日开炮</t>
  </si>
  <si>
    <t>小猿口算</t>
  </si>
  <si>
    <t>Appstore</t>
  </si>
  <si>
    <t>新天龙八部端游</t>
  </si>
  <si>
    <r>
      <rPr>
        <b val="1"/>
        <i val="0"/>
        <strike val="0"/>
        <color rgb="FF000000"/>
        <sz val="11"/>
        <u val="none"/>
      </rPr>
      <t>星图播放量中位数</t>
    </r>
    <r>
      <rPr>
        <b val="1"/>
        <i val="0"/>
        <strike val="0"/>
        <color rgb="FF000000"/>
        <sz val="11"/>
        <u val="none"/>
      </rPr>
      <t xml:space="preserve">
维护前</t>
    </r>
  </si>
  <si>
    <r>
      <rPr>
        <b val="1"/>
        <i val="0"/>
        <strike val="0"/>
        <color rgb="FF000000"/>
        <sz val="11"/>
        <u val="none"/>
      </rPr>
      <t>星图播放量中位数</t>
    </r>
    <r>
      <rPr>
        <b val="1"/>
        <i val="0"/>
        <strike val="0"/>
        <color rgb="FF000000"/>
        <sz val="11"/>
        <u val="none"/>
      </rPr>
      <t xml:space="preserve">
维护后预估</t>
    </r>
  </si>
  <si>
    <r>
      <rPr>
        <b val="1"/>
        <i val="0"/>
        <strike val="0"/>
        <color rgb="FF000000"/>
        <sz val="11"/>
        <u val="none"/>
      </rPr>
      <t>预期播放量</t>
    </r>
    <r>
      <rPr>
        <b val="1"/>
        <i val="0"/>
        <strike val="0"/>
        <color rgb="FF000000"/>
        <sz val="11"/>
        <u val="none"/>
      </rPr>
      <t xml:space="preserve">
维护前</t>
    </r>
  </si>
  <si>
    <r>
      <rPr>
        <b val="1"/>
        <i val="0"/>
        <strike val="0"/>
        <color rgb="FF000000"/>
        <sz val="11"/>
        <u val="none"/>
      </rPr>
      <t>预期播放量</t>
    </r>
    <r>
      <rPr>
        <b val="1"/>
        <i val="0"/>
        <strike val="0"/>
        <color rgb="FF000000"/>
        <sz val="11"/>
        <u val="none"/>
      </rPr>
      <t xml:space="preserve">
维护后预估（一个月后）</t>
    </r>
  </si>
  <si>
    <r>
      <rPr>
        <b val="0"/>
        <i val="0"/>
        <strike val="0"/>
        <color rgb="FF267EF0"/>
        <sz val="10"/>
        <u/>
      </rPr>
      <t>https://v.douyin.com/O_y6EZe7Pxc/</t>
    </r>
  </si>
  <si>
    <r>
      <rPr>
        <rFont val="微软雅黑"/>
        <b val="0"/>
        <i val="0"/>
        <strike val="0"/>
        <color rgb="FF267EF0"/>
        <sz val="10"/>
        <u/>
      </rPr>
      <t>https://v.douyin.com/bBaFptMb0cI/</t>
    </r>
  </si>
  <si>
    <r>
      <rPr>
        <b val="0"/>
        <i val="0"/>
        <strike val="0"/>
        <color rgb="FF267EF0"/>
        <sz val="10"/>
        <u/>
      </rPr>
      <t>https://v.douyin.com/_YVsx0qkLhY/</t>
    </r>
  </si>
  <si>
    <r>
      <rPr>
        <b val="0"/>
        <i val="0"/>
        <strike val="0"/>
        <color rgb="FF267EF0"/>
        <sz val="10"/>
        <u/>
      </rPr>
      <t>https://v.douyin.com/PXOEqRrTTWE/</t>
    </r>
  </si>
  <si>
    <r>
      <rPr>
        <b val="0"/>
        <i val="0"/>
        <strike val="0"/>
        <color rgb="FF267EF0"/>
        <sz val="10"/>
        <u/>
      </rPr>
      <t>https://v.douyin.com/QBFbHgS_qzs/</t>
    </r>
  </si>
  <si>
    <r>
      <rPr>
        <rFont val="微软雅黑"/>
        <b val="0"/>
        <i val="0"/>
        <strike val="0"/>
        <color rgb="FF267EF0"/>
        <sz val="10"/>
        <u/>
      </rPr>
      <t>https://v.douyin.com/Qpj1irNXt2o/</t>
    </r>
  </si>
  <si>
    <r>
      <rPr>
        <rFont val="微软雅黑"/>
        <b val="0"/>
        <i val="0"/>
        <strike val="0"/>
        <color rgb="FF267EF0"/>
        <sz val="10"/>
        <u/>
      </rPr>
      <t>https://v.douyin.com/balqG0MdVto/</t>
    </r>
  </si>
  <si>
    <r>
      <rPr>
        <rFont val="微软雅黑"/>
        <b val="0"/>
        <i val="0"/>
        <strike val="0"/>
        <color rgb="FF267EF0"/>
        <sz val="10"/>
        <u/>
      </rPr>
      <t>https://v.douyin.com/sddgZUvHCH8/</t>
    </r>
  </si>
  <si>
    <r>
      <rPr>
        <rFont val="微软雅黑"/>
        <b val="0"/>
        <i val="0"/>
        <strike val="0"/>
        <color rgb="FF267EF0"/>
        <sz val="10"/>
        <u/>
      </rPr>
      <t>https://v.douyin.com/QU_a6-qEFSc/</t>
    </r>
  </si>
  <si>
    <r>
      <rPr>
        <rFont val="微软雅黑"/>
        <b val="0"/>
        <i val="0"/>
        <strike val="0"/>
        <color rgb="FF267EF0"/>
        <sz val="10"/>
        <u/>
      </rPr>
      <t>https://v.douyin.com/sJElyt9DQsk/</t>
    </r>
  </si>
  <si>
    <r>
      <rPr>
        <rFont val="微软雅黑"/>
        <b val="0"/>
        <i val="0"/>
        <strike val="0"/>
        <color rgb="FF267EF0"/>
        <sz val="10"/>
        <u/>
      </rPr>
      <t>https://v.douyin.com/Ypf3z8VOGM4/</t>
    </r>
  </si>
  <si>
    <r>
      <rPr>
        <rFont val="微软雅黑"/>
        <b val="0"/>
        <i val="0"/>
        <strike val="0"/>
        <color rgb="FF267EF0"/>
        <sz val="10"/>
        <u/>
      </rPr>
      <t>https://v.douyin.com/QHOABaZ8XpY/</t>
    </r>
  </si>
  <si>
    <r>
      <rPr>
        <rFont val="微软雅黑"/>
        <b val="0"/>
        <i val="0"/>
        <strike val="0"/>
        <color rgb="FF267EF0"/>
        <sz val="10"/>
        <u/>
      </rPr>
      <t>https://v.douyin.com/0K55vTkPf80/</t>
    </r>
  </si>
  <si>
    <r>
      <rPr>
        <rFont val="微软雅黑"/>
        <b val="0"/>
        <i val="0"/>
        <strike val="0"/>
        <color rgb="FF267EF0"/>
        <sz val="10"/>
        <u/>
      </rPr>
      <t>https://v.douyin.com/o3WY-D0i2SU</t>
    </r>
  </si>
  <si>
    <r>
      <rPr>
        <rFont val="微软雅黑"/>
        <b val="0"/>
        <i val="0"/>
        <strike val="0"/>
        <color rgb="FF267EF0"/>
        <sz val="10"/>
        <u/>
      </rPr>
      <t>https://v.douyin.com/LMBUS2mv5nQ/</t>
    </r>
  </si>
  <si>
    <r>
      <rPr>
        <rFont val="微软雅黑"/>
        <b val="0"/>
        <i val="0"/>
        <strike val="0"/>
        <color rgb="FF267EF0"/>
        <sz val="10"/>
        <u/>
      </rPr>
      <t>https://v.douyin.com/nWTl7vI_tXs/</t>
    </r>
  </si>
  <si>
    <r>
      <rPr>
        <b val="0"/>
        <i val="0"/>
        <strike val="0"/>
        <color rgb="FF267EF0"/>
        <sz val="10"/>
        <u/>
      </rPr>
      <t xml:space="preserve"> https://v.douyin.com/tT8IDZkGMz0/</t>
    </r>
    <r>
      <rPr>
        <b val="0"/>
        <i val="0"/>
        <strike val="0"/>
        <color rgb="FF000000"/>
        <sz val="10"/>
        <u val="none"/>
      </rPr>
      <t xml:space="preserve"> </t>
    </r>
  </si>
  <si>
    <r>
      <rPr>
        <b val="0"/>
        <i val="0"/>
        <strike val="0"/>
        <color rgb="FF267EF0"/>
        <sz val="10"/>
        <u/>
      </rPr>
      <t>https://v.douyin.com/OMuv4vkQCnM/</t>
    </r>
    <r>
      <rPr>
        <b val="0"/>
        <i val="0"/>
        <strike val="0"/>
        <color rgb="FF175CEB"/>
        <sz val="10"/>
        <u/>
      </rPr>
      <t xml:space="preserve"> </t>
    </r>
  </si>
  <si>
    <r>
      <rPr>
        <b val="0"/>
        <i val="0"/>
        <strike val="0"/>
        <color rgb="FF267EF0"/>
        <sz val="10"/>
        <u/>
      </rPr>
      <t>https://v.douyin.com/PkAgFU-6NMY/</t>
    </r>
  </si>
  <si>
    <r>
      <rPr>
        <b val="0"/>
        <i val="0"/>
        <strike val="0"/>
        <color rgb="FF267EF0"/>
        <sz val="10"/>
        <u/>
      </rPr>
      <t>https://v.douyin.com/CKkb6Tnx8kY/</t>
    </r>
  </si>
  <si>
    <r>
      <rPr>
        <b val="0"/>
        <i val="0"/>
        <strike val="0"/>
        <color rgb="FF267EF0"/>
        <sz val="10"/>
        <u/>
      </rPr>
      <t>https://v.douyin.com/1_t7DAMMbt0/</t>
    </r>
  </si>
  <si>
    <r>
      <rPr>
        <b val="0"/>
        <i val="0"/>
        <strike val="0"/>
        <color rgb="FF267EF0"/>
        <sz val="10"/>
        <u/>
      </rPr>
      <t>https://v.douyin.com/-l8PolKZPYw/</t>
    </r>
  </si>
  <si>
    <r>
      <rPr>
        <b val="0"/>
        <i val="0"/>
        <strike val="0"/>
        <color rgb="FF267EF0"/>
        <sz val="10"/>
        <u/>
      </rPr>
      <t>https://v.douyin.com/xWO7974UPpc/</t>
    </r>
  </si>
  <si>
    <r>
      <rPr>
        <b val="0"/>
        <i val="0"/>
        <strike val="0"/>
        <color rgb="FF267EF0"/>
        <sz val="10"/>
        <u/>
      </rPr>
      <t>https://v.douyin.com/thvS9L2IReA/</t>
    </r>
    <r>
      <rPr>
        <b val="0"/>
        <i val="0"/>
        <strike val="0"/>
        <color rgb="FF000000"/>
        <sz val="10"/>
      </rPr>
      <t xml:space="preserve"> </t>
    </r>
  </si>
  <si>
    <r>
      <rPr>
        <b val="0"/>
        <i val="0"/>
        <strike val="0"/>
        <color rgb="FF267EF0"/>
        <sz val="10"/>
        <u/>
      </rPr>
      <t>https://v.douyin.com/aanjCgBObrI/</t>
    </r>
  </si>
  <si>
    <r>
      <rPr>
        <b val="0"/>
        <i val="0"/>
        <strike val="0"/>
        <color rgb="FF267EF0"/>
        <sz val="10"/>
        <u/>
      </rPr>
      <t>https://v.douyin.com/DNbu9Uasf6o/</t>
    </r>
    <r>
      <rPr>
        <b val="0"/>
        <i val="0"/>
        <strike val="0"/>
        <color rgb="FF000000"/>
        <sz val="10"/>
      </rPr>
      <t xml:space="preserve"> </t>
    </r>
  </si>
  <si>
    <r>
      <rPr>
        <b val="0"/>
        <i val="0"/>
        <strike val="0"/>
        <color rgb="FF267EF0"/>
        <sz val="10"/>
        <u/>
      </rPr>
      <t>https://v.douyin.com/KJaISoIxLbU/</t>
    </r>
  </si>
  <si>
    <r>
      <rPr>
        <b val="0"/>
        <i val="0"/>
        <strike val="0"/>
        <color rgb="FF267EF0"/>
        <sz val="10"/>
        <u/>
      </rPr>
      <t>https://v.douyin.com/Ct9hnyrL9Uc/</t>
    </r>
  </si>
  <si>
    <r>
      <rPr>
        <b val="0"/>
        <i val="0"/>
        <strike val="0"/>
        <color rgb="FF267EF0"/>
        <sz val="10"/>
        <u/>
      </rPr>
      <t>https://v.douyin.com/3hiHS1_T408/</t>
    </r>
  </si>
  <si>
    <r>
      <rPr>
        <b val="0"/>
        <i val="0"/>
        <strike val="0"/>
        <color rgb="FF267EF0"/>
        <sz val="10"/>
        <u/>
      </rPr>
      <t>https://v.douyin.com/XbgCixFkm3o/</t>
    </r>
  </si>
  <si>
    <r>
      <rPr>
        <b val="0"/>
        <i val="0"/>
        <strike val="0"/>
        <color rgb="FF267EF0"/>
        <sz val="10"/>
        <u/>
      </rPr>
      <t>https://v.douyin.com/16ZUpOdgoAs/</t>
    </r>
  </si>
  <si>
    <r>
      <rPr>
        <b val="0"/>
        <i val="0"/>
        <strike val="0"/>
        <color rgb="FF267EF0"/>
        <sz val="10"/>
        <u/>
      </rPr>
      <t>https://v.douyin.com/EzilU_chRrE/</t>
    </r>
  </si>
  <si>
    <r>
      <rPr>
        <rFont val="微软雅黑"/>
        <b val="0"/>
        <i val="0"/>
        <strike val="0"/>
        <color rgb="FF267EF0"/>
        <sz val="10"/>
        <u/>
      </rPr>
      <t>https://v.douyin.com/v4bqWZel5Qc/</t>
    </r>
  </si>
  <si>
    <r>
      <rPr>
        <b val="0"/>
        <i val="0"/>
        <strike val="0"/>
        <color rgb="FF267EF0"/>
        <sz val="10"/>
        <u/>
      </rPr>
      <t>https://v.douyin.com/yACJcyK96A4/</t>
    </r>
  </si>
  <si>
    <r>
      <rPr>
        <b val="0"/>
        <i val="0"/>
        <strike val="0"/>
        <color rgb="FF267EF0"/>
        <sz val="10"/>
        <u/>
      </rPr>
      <t>https://v.douyin.com/ngKT1OYusH4/</t>
    </r>
  </si>
  <si>
    <r>
      <rPr>
        <b val="0"/>
        <i val="0"/>
        <strike val="0"/>
        <color rgb="FF267EF0"/>
        <sz val="10"/>
        <u/>
      </rPr>
      <t>https://v.douyin.com/ZnWPfsIG9XU/</t>
    </r>
  </si>
  <si>
    <r>
      <rPr>
        <b val="0"/>
        <i val="0"/>
        <strike val="0"/>
        <color rgb="FF267EF0"/>
        <sz val="12"/>
        <u/>
      </rPr>
      <t>https://v.douyin.com/UhPgGSyTbak/</t>
    </r>
  </si>
  <si>
    <r>
      <rPr>
        <b val="0"/>
        <i val="0"/>
        <strike val="0"/>
        <color rgb="FF267EF0"/>
        <sz val="10"/>
        <u/>
      </rPr>
      <t>https://v.douyin.com/oywc2rq4MRI/</t>
    </r>
  </si>
</sst>
</file>

<file path=xl/styles.xml><?xml version="1.0" encoding="utf-8"?>
<styleSheet xmlns="http://schemas.openxmlformats.org/spreadsheetml/2006/main">
  <numFmts count="11">
    <numFmt numFmtId="300" formatCode="&quot;￥&quot;#,##0_);[Red](&quot;￥&quot;#,##0)"/>
    <numFmt numFmtId="301" formatCode="_ * #,##0_ ;_ * -#,##0_ ;_ * &quot;-&quot;??_ ;_ @_ "/>
    <numFmt numFmtId="302" formatCode="&quot;￥&quot;#,##0.0_);[Red](&quot;￥&quot;#,##0.0)"/>
    <numFmt numFmtId="303" formatCode="&quot;¥&quot;#,##0_);[Red](&quot;¥&quot;#,##0)"/>
    <numFmt numFmtId="304" formatCode="&quot;￥&quot;#,##0_);[Red](&quot;￥&quot;#,##0)"/>
    <numFmt numFmtId="305" formatCode="_ * #,##0_ ;_ * -#,##0_ ;_ * &quot;-&quot;??_ ;_ @_ "/>
    <numFmt numFmtId="306" formatCode="&quot;￥&quot;#,##0.0_);[Red](&quot;￥&quot;#,##0.0)"/>
    <numFmt numFmtId="307" formatCode="&quot;¥&quot;#,##0_);[Red](&quot;¥&quot;#,##0)"/>
    <numFmt numFmtId="308" formatCode="#,##0.00"/>
    <numFmt numFmtId="309" formatCode="#,##0"/>
    <numFmt numFmtId="310" formatCode="0.0%"/>
  </numFmts>
  <fonts count="3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6"/>
    </font>
    <font>
      <color rgb="FFFFFFFF"/>
      <sz val="16"/>
    </font>
    <font>
      <sz val="10"/>
    </font>
    <font>
      <b val="1"/>
      <sz val="10"/>
    </font>
    <font>
      <b val="1"/>
      <color rgb="FFC00000"/>
      <sz val="10"/>
    </font>
    <font>
      <sz val="11"/>
    </font>
    <font>
      <b val="1"/>
      <sz val="11"/>
    </font>
    <font/>
    <font>
      <sz val="9"/>
    </font>
    <font/>
    <font>
      <sz val="9"/>
    </font>
    <font>
      <sz val="12"/>
    </font>
    <font/>
    <font>
      <sz val="10"/>
      <color theme="1"/>
      <name val="等线"/>
    </font>
    <font>
      <sz val="10"/>
      <color rgb="FF175CEB"/>
      <name val="等线"/>
    </font>
    <font>
      <sz val="10"/>
      <color rgb="FF000000"/>
      <name val="Segoe UI Symbol"/>
    </font>
    <font>
      <b/>
      <sz val="16"/>
      <color rgb="FFFFFFFF"/>
    </font>
    <font>
      <sz val="16"/>
      <color rgb="FFFFFFFF"/>
    </font>
    <font>
      <sz val="10"/>
    </font>
    <font>
      <b/>
      <sz val="10"/>
    </font>
    <font>
      <b/>
      <sz val="10"/>
      <color rgb="FFC00000"/>
    </font>
    <font>
      <sz val="11"/>
    </font>
    <font>
      <b/>
      <sz val="11"/>
    </font>
    <font/>
    <font>
      <sz val="9"/>
    </font>
    <font/>
    <font>
      <sz val="9"/>
    </font>
    <font>
      <sz val="12"/>
    </font>
    <font/>
    <font>
      <sz val="11"/>
      <color theme="1"/>
      <name val="Arial"/>
    </font>
    <font>
      <b/>
      <sz val="16"/>
      <color theme="1"/>
      <name val="Arial"/>
    </font>
    <font>
      <b/>
      <sz val="11"/>
      <color theme="1"/>
      <name val="Arial"/>
    </font>
  </fonts>
  <fills count="43">
    <fill>
      <patternFill patternType="none"/>
    </fill>
    <fill>
      <patternFill patternType="gray125"/>
    </fill>
    <fill>
      <patternFill patternType="solid">
        <fgColor rgb="FF7030A0"/>
        <bgColor auto="1"/>
      </patternFill>
    </fill>
    <fill>
      <patternFill patternType="solid">
        <fgColor rgb="FF7030A0"/>
        <bgColor auto="1"/>
      </patternFill>
    </fill>
    <fill>
      <patternFill patternType="solid">
        <fgColor rgb="FFF3F5F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3F5F7"/>
      </patternFill>
    </fill>
    <fill>
      <patternFill patternType="none"/>
    </fill>
    <fill>
      <patternFill patternType="none"/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F5E5FF"/>
        <bgColor auto="1"/>
      </patternFill>
    </fill>
    <fill>
      <patternFill patternType="solid">
        <fgColor rgb="FFFFF3CA"/>
        <bgColor auto="1"/>
      </patternFill>
    </fill>
    <fill>
      <patternFill patternType="solid">
        <fgColor rgb="FF8CDDFA"/>
      </patternFill>
    </fill>
    <fill>
      <patternFill patternType="solid">
        <fgColor rgb="FFA5A5A5"/>
      </patternFill>
    </fill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7030A0"/>
      </patternFill>
    </fill>
    <fill>
      <patternFill patternType="solid">
        <fgColor rgb="FFF3F5F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FDCC4"/>
      </patternFill>
    </fill>
    <fill>
      <patternFill patternType="solid">
        <fgColor rgb="FFFFC9C7"/>
      </patternFill>
    </fill>
    <fill>
      <patternFill patternType="solid">
        <fgColor rgb="FFF3F5F7"/>
      </patternFill>
    </fill>
    <fill>
      <patternFill patternType="none"/>
    </fill>
    <fill>
      <patternFill patternType="none"/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>
      <patternFill patternType="solid">
        <fgColor rgb="FFF5E5FF"/>
      </patternFill>
    </fill>
    <fill>
      <patternFill patternType="solid">
        <fgColor rgb="FFFFF3CA"/>
      </patternFill>
    </fill>
    <fill>
      <patternFill patternType="solid">
        <fgColor rgb="FF8CDDFA"/>
      </patternFill>
    </fill>
    <fill>
      <patternFill patternType="solid">
        <fgColor rgb="FFA5A5A5"/>
      </patternFill>
    </fill>
    <fill>
      <patternFill patternType="solid">
        <fgColor rgb="FFFFDBC4"/>
      </patternFill>
    </fill>
    <fill>
      <patternFill patternType="solid">
        <fgColor rgb="FFFFF2CC"/>
      </patternFill>
    </fill>
    <fill>
      <patternFill patternType="solid">
        <fgColor rgb="FFFAF4EF"/>
      </patternFill>
    </fill>
    <fill>
      <patternFill patternType="solid">
        <fgColor rgb="FFFFE1CC"/>
      </patternFill>
    </fill>
    <fill>
      <patternFill patternType="solid">
        <fgColor rgb="FFFCE7E4"/>
      </patternFill>
    </fill>
  </fills>
  <borders count="16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2">
    <xf numFmtId="0" fontId="0" fillId="0" borderId="0" xfId="0">
      <alignment vertical="center"/>
    </xf>
    <xf numFmtId="0" fontId="16" fillId="19" borderId="8" xfId="1">
      <alignment vertical="center"/>
    </xf>
  </cellStyleXfs>
  <cellXfs count="19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textRotation="0"/>
    </xf>
    <xf fontId="0" fillId="0" borderId="2" xfId="0">
      <alignment vertical="center"/>
    </xf>
    <xf numFmtId="0" fontId="4" fillId="3" borderId="0" xfId="0">
      <alignment horizontal="center" vertical="center" textRotation="0"/>
    </xf>
    <xf numFmtId="0" fontId="5" fillId="0" borderId="3" xfId="0">
      <alignment vertical="center" textRotation="0" wrapText="1"/>
    </xf>
    <xf fontId="0" fillId="0" borderId="4" xfId="0">
      <alignment vertical="center"/>
    </xf>
    <xf numFmtId="0" fontId="5" fillId="0" borderId="0" xfId="0">
      <alignment vertical="center" textRotation="0" wrapText="1"/>
    </xf>
    <xf fontId="5" fillId="0" borderId="0" xfId="0">
      <alignment vertical="center"/>
    </xf>
    <xf numFmtId="0" fontId="5" fillId="4" borderId="5" xfId="0">
      <alignment horizontal="center" vertical="center" textRotation="0"/>
    </xf>
    <xf numFmtId="300" fontId="5" fillId="5" borderId="5" xfId="0">
      <alignment horizontal="center" vertical="center" textRotation="0"/>
    </xf>
    <xf numFmtId="0" fontId="5" fillId="6" borderId="5" xfId="0">
      <alignment horizontal="center" vertical="center" textRotation="0" wrapText="1"/>
    </xf>
    <xf numFmtId="0" fontId="6" fillId="7" borderId="5" xfId="0">
      <alignment horizontal="center" vertical="center" textRotation="0" wrapText="1"/>
    </xf>
    <xf numFmtId="0" fontId="6" fillId="5" borderId="5" xfId="0">
      <alignment horizontal="center" vertical="center" textRotation="0" wrapText="1"/>
    </xf>
    <xf numFmtId="0" fontId="5" fillId="7" borderId="5" xfId="0">
      <alignment horizontal="center" vertical="center" textRotation="0" wrapText="1"/>
    </xf>
    <xf numFmtId="0" fontId="5" fillId="4" borderId="5" xfId="0">
      <alignment horizontal="center" vertical="center" textRotation="0" wrapText="1"/>
    </xf>
    <xf numFmtId="0" fontId="5" fillId="8" borderId="5" xfId="0">
      <alignment horizontal="center" vertical="center" textRotation="0" wrapText="1"/>
    </xf>
    <xf numFmtId="0" fontId="5" fillId="9" borderId="5" xfId="0">
      <alignment horizontal="center" vertical="center" textRotation="0" wrapText="1"/>
    </xf>
    <xf numFmtId="0" fontId="5" fillId="0" borderId="5" xfId="0">
      <alignment horizontal="center" vertical="center" textRotation="0"/>
    </xf>
    <xf numFmtId="300" fontId="5" fillId="5" borderId="5" xfId="0">
      <alignment horizontal="right" vertical="center" textRotation="0"/>
    </xf>
    <xf numFmtId="301" fontId="5" fillId="0" borderId="5" xfId="0">
      <alignment horizontal="right" vertical="center" textRotation="0"/>
    </xf>
    <xf numFmtId="302" fontId="5" fillId="0" borderId="5" xfId="0">
      <alignment horizontal="right" vertical="center" textRotation="0"/>
    </xf>
    <xf numFmtId="301" fontId="5" fillId="6" borderId="5" xfId="0">
      <alignment horizontal="right" vertical="center" textRotation="0"/>
    </xf>
    <xf numFmtId="300" fontId="7" fillId="5" borderId="5" xfId="0">
      <alignment horizontal="right" vertical="center" textRotation="0"/>
    </xf>
    <xf numFmtId="9" fontId="7" fillId="7" borderId="5" xfId="0">
      <alignment horizontal="right" vertical="center" textRotation="0"/>
    </xf>
    <xf numFmtId="301" fontId="5" fillId="10" borderId="5" xfId="0">
      <alignment horizontal="right" vertical="center" textRotation="0"/>
    </xf>
    <xf numFmtId="300" fontId="5" fillId="0" borderId="5" xfId="0">
      <alignment horizontal="right" vertical="center" textRotation="0"/>
    </xf>
    <xf numFmtId="10" fontId="5" fillId="0" borderId="5" xfId="0">
      <alignment horizontal="right" vertical="center" textRotation="0"/>
    </xf>
    <xf fontId="5" fillId="0" borderId="5" xfId="0">
      <alignment vertical="center"/>
    </xf>
    <xf numFmtId="300" fontId="5" fillId="7" borderId="5" xfId="0">
      <alignment horizontal="right" vertical="center" textRotation="0"/>
    </xf>
    <xf numFmtId="9" fontId="5" fillId="7" borderId="5" xfId="0">
      <alignment horizontal="right" vertical="center" textRotation="0"/>
    </xf>
    <xf numFmtId="300" fontId="5" fillId="0" borderId="5" xfId="0">
      <alignment vertical="center"/>
    </xf>
    <xf numFmtId="300" fontId="7" fillId="7" borderId="5" xfId="0">
      <alignment horizontal="right" vertical="center" textRotation="0"/>
    </xf>
    <xf fontId="5" fillId="11" borderId="0" xfId="0">
      <alignment vertical="center"/>
    </xf>
    <xf numFmtId="4" fontId="5" fillId="0" borderId="0" xfId="0">
      <alignment vertical="center"/>
    </xf>
    <xf numFmtId="3" fontId="5" fillId="0" borderId="0" xfId="0">
      <alignment vertical="center"/>
    </xf>
    <xf fontId="8" fillId="12" borderId="5" xfId="0">
      <alignment horizontal="center" vertical="center"/>
    </xf>
    <xf fontId="8" fillId="13" borderId="5" xfId="0">
      <alignment horizontal="center" vertical="center"/>
    </xf>
    <xf fontId="8" fillId="14" borderId="5" xfId="0">
      <alignment horizontal="center" vertical="center"/>
    </xf>
    <xf fontId="0" fillId="0" borderId="5" xfId="0">
      <alignment vertical="center"/>
    </xf>
    <xf fontId="8" fillId="14" borderId="6" xfId="0">
      <alignment horizontal="center" vertical="center" wrapText="1"/>
    </xf>
    <xf fontId="8" fillId="0" borderId="0" xfId="0">
      <alignment horizontal="center" vertical="center"/>
    </xf>
    <xf numFmtId="0" fontId="9" fillId="0" borderId="5" xfId="0">
      <alignment horizontal="center" vertical="center" textRotation="0"/>
    </xf>
    <xf numFmtId="0" fontId="9" fillId="0" borderId="5" xfId="0">
      <alignment horizontal="center" vertical="center" textRotation="0" wrapText="1"/>
    </xf>
    <xf fontId="8" fillId="14" borderId="5" xfId="0">
      <alignment vertical="center"/>
    </xf>
    <xf fontId="0" fillId="0" borderId="7" xfId="0">
      <alignment vertical="center"/>
    </xf>
    <xf fontId="0" fillId="0" borderId="0" xfId="0">
      <alignment horizontal="center" vertical="center"/>
    </xf>
    <xf fontId="10" fillId="0" borderId="0" xfId="0">
      <alignment horizontal="center" vertical="center"/>
    </xf>
    <xf fontId="11" fillId="0" borderId="0" xfId="0">
      <alignment horizontal="center" vertical="center" wrapText="0"/>
    </xf>
    <xf numFmtId="0" fontId="0" fillId="0" borderId="0" xfId="0">
      <alignment horizontal="center" vertical="center"/>
    </xf>
    <xf numFmtId="0" fontId="8" fillId="0" borderId="5" xfId="0">
      <alignment horizontal="center" vertical="center" textRotation="0"/>
    </xf>
    <xf numFmtId="303" fontId="8" fillId="0" borderId="5" xfId="0">
      <alignment horizontal="center" vertical="center" textRotation="0"/>
    </xf>
    <xf fontId="8" fillId="0" borderId="5" xfId="0">
      <alignment horizontal="center" vertical="center" textRotation="0"/>
    </xf>
    <xf fontId="0" fillId="0" borderId="5" xfId="0">
      <alignment horizontal="center" vertical="center"/>
    </xf>
    <xf fontId="12" fillId="0" borderId="0" xfId="0">
      <alignment horizontal="center" vertical="center"/>
    </xf>
    <xf numFmtId="300" fontId="0" fillId="0" borderId="5" xfId="0">
      <alignment horizontal="center" vertical="center"/>
    </xf>
    <xf fontId="5" fillId="0" borderId="0" xfId="0">
      <alignment horizontal="center" vertical="center"/>
    </xf>
    <xf numFmtId="0" fontId="8" fillId="15" borderId="5" xfId="0">
      <alignment horizontal="center" vertical="center" textRotation="0"/>
    </xf>
    <xf numFmtId="0" fontId="8" fillId="16" borderId="5" xfId="0">
      <alignment horizontal="center" vertical="center" textRotation="0" wrapText="1"/>
    </xf>
    <xf numFmtId="300" fontId="8" fillId="16" borderId="5" xfId="0">
      <alignment horizontal="center" vertical="center" textRotation="0"/>
    </xf>
    <xf numFmtId="301" fontId="8" fillId="16" borderId="5" xfId="0">
      <alignment horizontal="center" vertical="center" textRotation="0"/>
    </xf>
    <xf numFmtId="0" fontId="0" fillId="0" borderId="0" xfId="0">
      <alignment horizontal="center" vertical="center" textRotation="0" indent="0" justifyLastLine="0" shrinkToFit="0"/>
    </xf>
    <xf fontId="0" fillId="17" borderId="0" xfId="0">
      <alignment horizontal="center" vertical="center"/>
    </xf>
    <xf numFmtId="0" fontId="0" fillId="18" borderId="0" xfId="0">
      <alignment horizontal="center" vertical="center"/>
    </xf>
    <xf numFmtId="0" fontId="0" fillId="18" borderId="0" xfId="0">
      <alignment horizontal="center" vertical="center" textRotation="0" indent="0" justifyLastLine="0" shrinkToFit="0"/>
    </xf>
    <xf fontId="11" fillId="18" borderId="0" xfId="0">
      <alignment horizontal="center" vertical="center" wrapText="0"/>
    </xf>
    <xf fontId="0" fillId="18" borderId="0" xfId="0">
      <alignment horizontal="center" vertical="center"/>
    </xf>
    <xf numFmtId="0" fontId="10" fillId="0" borderId="0" xfId="0">
      <alignment horizontal="center" vertical="center"/>
    </xf>
    <xf fontId="0" fillId="0" borderId="0" xfId="0">
      <alignment horizontal="center" vertical="center" textRotation="0" indent="0" justifyLastLine="0" shrinkToFit="0"/>
    </xf>
    <xf fontId="0" fillId="18" borderId="0" xfId="0">
      <alignment horizontal="center" vertical="center" textRotation="0" indent="0" justifyLastLine="0" shrinkToFit="0"/>
    </xf>
    <xf numFmtId="0" fontId="0" fillId="17" borderId="0" xfId="0">
      <alignment horizontal="center" vertical="center" textRotation="0" indent="0" justifyLastLine="0" shrinkToFit="0"/>
    </xf>
    <xf fontId="13" fillId="0" borderId="0" xfId="0">
      <alignment horizontal="center" vertical="center" wrapText="0"/>
    </xf>
    <xf numFmtId="0" fontId="12" fillId="0" borderId="0" xfId="0">
      <alignment horizontal="center" vertical="center" textRotation="0" indent="0" justifyLastLine="0" shrinkToFit="0"/>
    </xf>
    <xf numFmtId="0" fontId="0" fillId="0" borderId="0" xfId="0">
      <alignment vertical="center"/>
    </xf>
    <xf fontId="0" fillId="11" borderId="0" xfId="0">
      <alignment horizontal="center" vertical="center"/>
    </xf>
    <xf numFmtId="0" fontId="14" fillId="0" borderId="0" xfId="0">
      <alignment vertical="center"/>
    </xf>
    <xf fontId="11" fillId="0" borderId="0" xfId="0">
      <alignment vertical="center" wrapText="0"/>
    </xf>
    <xf fontId="11" fillId="0" borderId="0" xfId="0">
      <alignment vertical="center" wrapText="0"/>
    </xf>
    <xf fontId="13" fillId="0" borderId="0" xfId="0">
      <alignment vertical="center" wrapText="0"/>
    </xf>
    <xf fontId="12" fillId="0" borderId="0" xfId="0">
      <alignment vertical="center"/>
    </xf>
    <xf fontId="12" fillId="0" borderId="0" xfId="0">
      <alignment horizontal="right" vertical="center"/>
    </xf>
    <xf fontId="15" fillId="0" borderId="0" xfId="0">
      <alignment vertical="center"/>
    </xf>
    <xf fontId="8" fillId="0" borderId="0" xfId="0">
      <alignment vertical="center"/>
    </xf>
    <xf numFmtId="0" fontId="16" fillId="19" borderId="8" xfId="1">
      <alignment vertical="center"/>
    </xf>
    <xf numFmtId="0" fontId="17" fillId="19" borderId="8" xfId="1">
      <alignment vertical="center"/>
    </xf>
    <xf numFmtId="0" fontId="18" fillId="19" borderId="8" xfId="1">
      <alignment horizontal="center" vertical="center"/>
    </xf>
    <xf fontId="16" fillId="19" borderId="8" xfId="1">
      <alignment vertical="center"/>
    </xf>
    <xf numFmtId="0" fontId="19" fillId="21" borderId="9" xfId="1">
      <alignment horizontal="center" vertical="center"/>
    </xf>
    <xf fontId="16" fillId="19" borderId="10" xfId="1">
      <alignment vertical="center"/>
    </xf>
    <xf numFmtId="0" fontId="20" fillId="22" borderId="8" xfId="1">
      <alignment horizontal="center" vertical="center"/>
    </xf>
    <xf numFmtId="0" fontId="21" fillId="19" borderId="11" xfId="1">
      <alignment vertical="center" wrapText="1"/>
    </xf>
    <xf fontId="16" fillId="19" borderId="12" xfId="1">
      <alignment vertical="center"/>
    </xf>
    <xf numFmtId="0" fontId="21" fillId="19" borderId="8" xfId="1">
      <alignment vertical="center" wrapText="1"/>
    </xf>
    <xf fontId="21" fillId="19" borderId="8" xfId="1">
      <alignment vertical="center"/>
    </xf>
    <xf numFmtId="0" fontId="21" fillId="23" borderId="13" xfId="1">
      <alignment horizontal="center" vertical="center"/>
    </xf>
    <xf numFmtId="304" fontId="21" fillId="24" borderId="13" xfId="1">
      <alignment horizontal="center" vertical="center"/>
    </xf>
    <xf numFmtId="0" fontId="21" fillId="25" borderId="13" xfId="1">
      <alignment horizontal="center" vertical="center" wrapText="1"/>
    </xf>
    <xf numFmtId="0" fontId="22" fillId="26" borderId="13" xfId="1">
      <alignment horizontal="center" vertical="center" wrapText="1"/>
    </xf>
    <xf numFmtId="0" fontId="22" fillId="24" borderId="13" xfId="1">
      <alignment horizontal="center" vertical="center" wrapText="1"/>
    </xf>
    <xf numFmtId="0" fontId="21" fillId="26" borderId="13" xfId="1">
      <alignment horizontal="center" vertical="center" wrapText="1"/>
    </xf>
    <xf numFmtId="0" fontId="21" fillId="23" borderId="13" xfId="1">
      <alignment horizontal="center" vertical="center" wrapText="1"/>
    </xf>
    <xf numFmtId="0" fontId="21" fillId="27" borderId="13" xfId="1">
      <alignment horizontal="center" vertical="center" wrapText="1"/>
    </xf>
    <xf numFmtId="0" fontId="21" fillId="28" borderId="13" xfId="1">
      <alignment horizontal="center" vertical="center" wrapText="1"/>
    </xf>
    <xf numFmtId="0" fontId="21" fillId="19" borderId="13" xfId="1">
      <alignment horizontal="center" vertical="center"/>
    </xf>
    <xf numFmtId="304" fontId="21" fillId="24" borderId="13" xfId="1">
      <alignment horizontal="right" vertical="center"/>
    </xf>
    <xf numFmtId="305" fontId="21" fillId="19" borderId="13" xfId="1">
      <alignment horizontal="right" vertical="center"/>
    </xf>
    <xf numFmtId="306" fontId="21" fillId="19" borderId="13" xfId="1">
      <alignment horizontal="right" vertical="center"/>
    </xf>
    <xf numFmtId="305" fontId="21" fillId="25" borderId="13" xfId="1">
      <alignment horizontal="right" vertical="center"/>
    </xf>
    <xf numFmtId="304" fontId="23" fillId="24" borderId="13" xfId="1">
      <alignment horizontal="right" vertical="center"/>
    </xf>
    <xf numFmtId="9" fontId="23" fillId="26" borderId="13" xfId="1">
      <alignment horizontal="right" vertical="center"/>
    </xf>
    <xf numFmtId="305" fontId="21" fillId="29" borderId="13" xfId="1">
      <alignment horizontal="right" vertical="center"/>
    </xf>
    <xf numFmtId="304" fontId="21" fillId="19" borderId="13" xfId="1">
      <alignment horizontal="right" vertical="center"/>
    </xf>
    <xf numFmtId="10" fontId="21" fillId="19" borderId="13" xfId="1">
      <alignment horizontal="right" vertical="center"/>
    </xf>
    <xf fontId="21" fillId="19" borderId="13" xfId="1">
      <alignment vertical="center"/>
    </xf>
    <xf numFmtId="304" fontId="21" fillId="26" borderId="13" xfId="1">
      <alignment horizontal="right" vertical="center"/>
    </xf>
    <xf numFmtId="9" fontId="21" fillId="26" borderId="13" xfId="1">
      <alignment horizontal="right" vertical="center"/>
    </xf>
    <xf numFmtId="304" fontId="21" fillId="19" borderId="13" xfId="1">
      <alignment vertical="center"/>
    </xf>
    <xf numFmtId="304" fontId="23" fillId="26" borderId="13" xfId="1">
      <alignment horizontal="right" vertical="center"/>
    </xf>
    <xf fontId="21" fillId="30" borderId="8" xfId="1">
      <alignment vertical="center"/>
    </xf>
    <xf numFmtId="4" fontId="21" fillId="19" borderId="8" xfId="1">
      <alignment vertical="center"/>
    </xf>
    <xf numFmtId="3" fontId="21" fillId="19" borderId="8" xfId="1">
      <alignment vertical="center"/>
    </xf>
    <xf fontId="24" fillId="31" borderId="13" xfId="1">
      <alignment horizontal="center" vertical="center"/>
    </xf>
    <xf fontId="24" fillId="32" borderId="13" xfId="1">
      <alignment horizontal="center" vertical="center"/>
    </xf>
    <xf fontId="24" fillId="33" borderId="13" xfId="1">
      <alignment horizontal="center" vertical="center"/>
    </xf>
    <xf fontId="16" fillId="19" borderId="13" xfId="1">
      <alignment vertical="center"/>
    </xf>
    <xf fontId="24" fillId="33" borderId="14" xfId="1">
      <alignment horizontal="center" vertical="center" wrapText="1"/>
    </xf>
    <xf fontId="24" fillId="19" borderId="8" xfId="1">
      <alignment horizontal="center" vertical="center"/>
    </xf>
    <xf numFmtId="0" fontId="25" fillId="19" borderId="13" xfId="1">
      <alignment horizontal="center" vertical="center"/>
    </xf>
    <xf numFmtId="0" fontId="25" fillId="19" borderId="13" xfId="1">
      <alignment horizontal="center" vertical="center" wrapText="1"/>
    </xf>
    <xf fontId="24" fillId="33" borderId="13" xfId="1">
      <alignment vertical="center"/>
    </xf>
    <xf fontId="16" fillId="19" borderId="15" xfId="1">
      <alignment vertical="center"/>
    </xf>
    <xf fontId="16" fillId="19" borderId="8" xfId="1">
      <alignment horizontal="center" vertical="center"/>
    </xf>
    <xf fontId="26" fillId="19" borderId="8" xfId="1">
      <alignment horizontal="center" vertical="center"/>
    </xf>
    <xf fontId="27" fillId="19" borderId="8" xfId="1">
      <alignment horizontal="center" vertical="center" wrapText="0"/>
    </xf>
    <xf numFmtId="0" fontId="16" fillId="19" borderId="8" xfId="1">
      <alignment horizontal="center" vertical="center"/>
    </xf>
    <xf numFmtId="0" fontId="24" fillId="19" borderId="13" xfId="1">
      <alignment horizontal="center" vertical="center"/>
    </xf>
    <xf numFmtId="307" fontId="24" fillId="19" borderId="13" xfId="1">
      <alignment horizontal="center" vertical="center"/>
    </xf>
    <xf fontId="24" fillId="19" borderId="13" xfId="1">
      <alignment horizontal="center" vertical="center"/>
    </xf>
    <xf fontId="16" fillId="19" borderId="13" xfId="1">
      <alignment horizontal="center" vertical="center"/>
    </xf>
    <xf fontId="28" fillId="19" borderId="8" xfId="1">
      <alignment horizontal="center" vertical="center"/>
    </xf>
    <xf numFmtId="304" fontId="16" fillId="19" borderId="13" xfId="1">
      <alignment horizontal="center" vertical="center"/>
    </xf>
    <xf fontId="21" fillId="19" borderId="8" xfId="1">
      <alignment horizontal="center" vertical="center"/>
    </xf>
    <xf numFmtId="0" fontId="24" fillId="34" borderId="13" xfId="1">
      <alignment horizontal="center" vertical="center"/>
    </xf>
    <xf numFmtId="0" fontId="24" fillId="35" borderId="13" xfId="1">
      <alignment horizontal="center" vertical="center" wrapText="1"/>
    </xf>
    <xf numFmtId="304" fontId="24" fillId="35" borderId="13" xfId="1">
      <alignment horizontal="center" vertical="center"/>
    </xf>
    <xf numFmtId="305" fontId="24" fillId="35" borderId="13" xfId="1">
      <alignment horizontal="center" vertical="center"/>
    </xf>
    <xf numFmtId="0" fontId="16" fillId="19" borderId="8" xfId="1">
      <alignment horizontal="center" vertical="center"/>
    </xf>
    <xf fontId="16" fillId="36" borderId="8" xfId="1">
      <alignment horizontal="center" vertical="center"/>
    </xf>
    <xf numFmtId="0" fontId="16" fillId="37" borderId="8" xfId="1">
      <alignment horizontal="center" vertical="center"/>
    </xf>
    <xf numFmtId="0" fontId="16" fillId="37" borderId="8" xfId="1">
      <alignment horizontal="center" vertical="center"/>
    </xf>
    <xf fontId="27" fillId="37" borderId="8" xfId="1">
      <alignment horizontal="center" vertical="center" wrapText="0"/>
    </xf>
    <xf fontId="16" fillId="37" borderId="8" xfId="1">
      <alignment horizontal="center" vertical="center"/>
    </xf>
    <xf numFmtId="0" fontId="26" fillId="19" borderId="8" xfId="1">
      <alignment horizontal="center" vertical="center"/>
    </xf>
    <xf fontId="16" fillId="19" borderId="8" xfId="1">
      <alignment horizontal="center" vertical="center"/>
    </xf>
    <xf fontId="16" fillId="37" borderId="8" xfId="1">
      <alignment horizontal="center" vertical="center"/>
    </xf>
    <xf numFmtId="0" fontId="16" fillId="36" borderId="8" xfId="1">
      <alignment horizontal="center" vertical="center"/>
    </xf>
    <xf fontId="29" fillId="19" borderId="8" xfId="1">
      <alignment horizontal="center" vertical="center" wrapText="0"/>
    </xf>
    <xf numFmtId="0" fontId="28" fillId="19" borderId="8" xfId="1">
      <alignment horizontal="center" vertical="center"/>
    </xf>
    <xf numFmtId="0" fontId="16" fillId="19" borderId="8" xfId="1">
      <alignment vertical="center"/>
    </xf>
    <xf fontId="16" fillId="30" borderId="8" xfId="1">
      <alignment horizontal="center" vertical="center"/>
    </xf>
    <xf numFmtId="0" fontId="30" fillId="19" borderId="8" xfId="1">
      <alignment vertical="center"/>
    </xf>
    <xf fontId="27" fillId="19" borderId="8" xfId="1">
      <alignment vertical="center" wrapText="0"/>
    </xf>
    <xf fontId="27" fillId="19" borderId="8" xfId="1">
      <alignment vertical="center" wrapText="0"/>
    </xf>
    <xf fontId="29" fillId="19" borderId="8" xfId="1">
      <alignment vertical="center" wrapText="0"/>
    </xf>
    <xf fontId="28" fillId="19" borderId="8" xfId="1">
      <alignment vertical="center"/>
    </xf>
    <xf fontId="28" fillId="19" borderId="8" xfId="1">
      <alignment horizontal="right" vertical="center"/>
    </xf>
    <xf fontId="31" fillId="19" borderId="8" xfId="1">
      <alignment vertical="center"/>
    </xf>
    <xf fontId="24" fillId="19" borderId="8" xfId="1">
      <alignment vertical="center"/>
    </xf>
    <xf numFmtId="0" fontId="32" fillId="19" borderId="8" xfId="1" applyNumberFormat="1" applyFont="1" applyFill="1" applyBorder="1" applyAlignment="1">
      <alignment vertical="center"/>
    </xf>
    <xf numFmtId="0" fontId="33" fillId="19" borderId="8" xfId="1" applyNumberFormat="1" applyFont="1" applyFill="1" applyBorder="1" applyAlignment="1">
      <alignment vertical="center"/>
    </xf>
    <xf numFmtId="0" fontId="32" fillId="38" borderId="8" xfId="1" applyNumberFormat="1" applyFont="1" applyFill="1" applyBorder="1" applyAlignment="1">
      <alignment vertical="center"/>
    </xf>
    <xf numFmtId="0" fontId="34" fillId="38" borderId="8" xfId="1" applyNumberFormat="1" applyFont="1" applyFill="1" applyBorder="1" applyAlignment="1">
      <alignment vertical="center"/>
    </xf>
    <xf numFmtId="0" fontId="34" fillId="38" borderId="8" xfId="1" applyNumberFormat="1" applyFont="1" applyFill="1" applyBorder="1" applyAlignment="1">
      <alignment vertical="center" wrapText="1"/>
    </xf>
    <xf numFmtId="0" fontId="34" fillId="38" borderId="8" xfId="1" applyNumberFormat="1" applyFont="1" applyFill="1" applyBorder="1" applyAlignment="1">
      <alignment horizontal="center" vertical="center" wrapText="1"/>
    </xf>
    <xf numFmtId="0" fontId="32" fillId="39" borderId="8" xfId="1" applyNumberFormat="1" applyFont="1" applyFill="1" applyBorder="1" applyAlignment="1">
      <alignment vertical="center"/>
    </xf>
    <xf numFmtId="0" fontId="16" fillId="39" borderId="8" xfId="1" applyNumberFormat="1" applyFont="1" applyFill="1" applyBorder="1" applyAlignment="1">
      <alignment vertical="center"/>
    </xf>
    <xf numFmtId="0" fontId="32" fillId="40" borderId="8" xfId="1" applyNumberFormat="1" applyFont="1" applyFill="1" applyBorder="1" applyAlignment="1">
      <alignment vertical="center"/>
    </xf>
    <xf numFmtId="0" fontId="32" fillId="41" borderId="8" xfId="1" applyNumberFormat="1" applyFont="1" applyFill="1" applyBorder="1" applyAlignment="1">
      <alignment vertical="center"/>
    </xf>
    <xf numFmtId="0" fontId="32" fillId="42" borderId="8" xfId="1" applyNumberFormat="1" applyFont="1" applyFill="1" applyBorder="1" applyAlignment="1">
      <alignment vertical="center"/>
    </xf>
    <xf numFmtId="308" fontId="32" fillId="39" borderId="8" xfId="1" applyNumberFormat="1" applyFont="1" applyFill="1" applyBorder="1" applyAlignment="1">
      <alignment vertical="center"/>
    </xf>
    <xf numFmtId="308" fontId="32" fillId="19" borderId="8" xfId="1" applyNumberFormat="1" applyFont="1" applyFill="1" applyBorder="1" applyAlignment="1">
      <alignment vertical="center"/>
    </xf>
    <xf numFmtId="308" fontId="32" fillId="41" borderId="8" xfId="1" applyNumberFormat="1" applyFont="1" applyFill="1" applyBorder="1" applyAlignment="1">
      <alignment vertical="center"/>
    </xf>
    <xf numFmtId="308" fontId="32" fillId="42" borderId="8" xfId="1" applyNumberFormat="1" applyFont="1" applyFill="1" applyBorder="1" applyAlignment="1">
      <alignment vertical="center"/>
    </xf>
    <xf numFmtId="308" fontId="32" fillId="40" borderId="8" xfId="1" applyNumberFormat="1" applyFont="1" applyFill="1" applyBorder="1" applyAlignment="1">
      <alignment vertical="center"/>
    </xf>
    <xf numFmtId="309" fontId="32" fillId="39" borderId="8" xfId="1" applyNumberFormat="1" applyFont="1" applyFill="1" applyBorder="1" applyAlignment="1">
      <alignment vertical="center"/>
    </xf>
    <xf numFmtId="309" fontId="32" fillId="19" borderId="8" xfId="1" applyNumberFormat="1" applyFont="1" applyFill="1" applyBorder="1" applyAlignment="1">
      <alignment vertical="center"/>
    </xf>
    <xf numFmtId="309" fontId="32" fillId="40" borderId="8" xfId="1" applyNumberFormat="1" applyFont="1" applyFill="1" applyBorder="1" applyAlignment="1">
      <alignment vertical="center"/>
    </xf>
    <xf numFmtId="310" fontId="32" fillId="41" borderId="8" xfId="1" applyNumberFormat="1" applyFont="1" applyFill="1" applyBorder="1" applyAlignment="1">
      <alignment vertical="center"/>
    </xf>
    <xf numFmtId="310" fontId="32" fillId="42" borderId="8" xfId="1" applyNumberFormat="1" applyFont="1" applyFill="1" applyBorder="1" applyAlignment="1">
      <alignment vertical="center"/>
    </xf>
  </cellXfs>
  <dxfs count="1">
    <dxf>
      <font>
        <b/>
        <color rgb="FFB91C1C"/>
      </font>
      <fill>
        <patternFill patternType="solid">
          <bgColor rgb="FFFEE2E2"/>
        </patternFill>
      </fill>
    </dxf>
  </dxfs>
</styleSheet>
</file>

<file path=xl/_rels/workbook.xml.rels><?xml version='1.0' encoding='utf-8'?>
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SmallAccount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9" Type="http://schemas.openxmlformats.org/officeDocument/2006/relationships/hyperlink" Target="https://v.douyin.com/sJElyt9DQsk/" TargetMode="External"/><Relationship Id="rId22" Type="http://schemas.openxmlformats.org/officeDocument/2006/relationships/hyperlink" Target="https://v.douyin.com/xWO7974UPpc/" TargetMode="External"/><Relationship Id="rId19" Type="http://schemas.openxmlformats.org/officeDocument/2006/relationships/hyperlink" Target="https://v.douyin.com/CKkb6Tnx8kY/" TargetMode="External"/><Relationship Id="rId18" Type="http://schemas.openxmlformats.org/officeDocument/2006/relationships/hyperlink" Target="https://v.douyin.com/PkAgFU-6NMY/" TargetMode="External"/><Relationship Id="rId21" Type="http://schemas.openxmlformats.org/officeDocument/2006/relationships/hyperlink" Target="https://v.douyin.com/-l8PolKZPYw/" TargetMode="External"/><Relationship Id="rId16" Type="http://schemas.openxmlformats.org/officeDocument/2006/relationships/hyperlink" Target="https://v.douyin.com/tT8IDZkGMz0/" TargetMode="External"/><Relationship Id="rId2" Type="http://schemas.openxmlformats.org/officeDocument/2006/relationships/hyperlink" Target="https://v.douyin.com/_YVsx0qkLhY/" TargetMode="External"/><Relationship Id="rId30" Type="http://schemas.openxmlformats.org/officeDocument/2006/relationships/hyperlink" Target="https://v.douyin.com/16ZUpOdgoAs/" TargetMode="External"/><Relationship Id="rId27" Type="http://schemas.openxmlformats.org/officeDocument/2006/relationships/hyperlink" Target="https://v.douyin.com/Ct9hnyrL9Uc/" TargetMode="External"/><Relationship Id="rId34" Type="http://schemas.openxmlformats.org/officeDocument/2006/relationships/hyperlink" Target="https://v.douyin.com/ngKT1OYusH4/" TargetMode="External"/><Relationship Id="rId14" Type="http://schemas.openxmlformats.org/officeDocument/2006/relationships/hyperlink" Target="https://v.douyin.com/LMBUS2mv5nQ/" TargetMode="External"/><Relationship Id="rId15" Type="http://schemas.openxmlformats.org/officeDocument/2006/relationships/hyperlink" Target="https://v.douyin.com/nWTl7vI_tXs/" TargetMode="External"/><Relationship Id="rId13" Type="http://schemas.openxmlformats.org/officeDocument/2006/relationships/hyperlink" Target="https://v.douyin.com/o3WY-D0i2SU" TargetMode="External"/><Relationship Id="rId1" Type="http://schemas.openxmlformats.org/officeDocument/2006/relationships/hyperlink" Target="https://v.douyin.com/bBaFptMb0cI/" TargetMode="External"/><Relationship Id="rId0" Type="http://schemas.openxmlformats.org/officeDocument/2006/relationships/hyperlink" Target="https://v.douyin.com/O_y6EZe7Pxc/" TargetMode="External"/><Relationship Id="rId10" Type="http://schemas.openxmlformats.org/officeDocument/2006/relationships/hyperlink" Target="https://v.douyin.com/Ypf3z8VOGM4/" TargetMode="External"/><Relationship Id="rId11" Type="http://schemas.openxmlformats.org/officeDocument/2006/relationships/hyperlink" Target="https://v.douyin.com/QHOABaZ8XpY/" TargetMode="External"/><Relationship Id="rId28" Type="http://schemas.openxmlformats.org/officeDocument/2006/relationships/hyperlink" Target="https://v.douyin.com/3hiHS1_T408/" TargetMode="External"/><Relationship Id="rId8" Type="http://schemas.openxmlformats.org/officeDocument/2006/relationships/hyperlink" Target="https://v.douyin.com/QU_a6-qEFSc/" TargetMode="External"/><Relationship Id="rId12" Type="http://schemas.openxmlformats.org/officeDocument/2006/relationships/hyperlink" Target="https://v.douyin.com/0K55vTkPf80/" TargetMode="External"/><Relationship Id="rId17" Type="http://schemas.openxmlformats.org/officeDocument/2006/relationships/hyperlink" Target="https://v.douyin.com/OMuv4vkQCnM/" TargetMode="External"/><Relationship Id="rId23" Type="http://schemas.openxmlformats.org/officeDocument/2006/relationships/hyperlink" Target="https://v.douyin.com/thvS9L2IReA/" TargetMode="External"/><Relationship Id="rId24" Type="http://schemas.openxmlformats.org/officeDocument/2006/relationships/hyperlink" Target="https://v.douyin.com/aanjCgBObrI/" TargetMode="External"/><Relationship Id="rId25" Type="http://schemas.openxmlformats.org/officeDocument/2006/relationships/hyperlink" Target="https://v.douyin.com/DNbu9Uasf6o/" TargetMode="External"/><Relationship Id="rId26" Type="http://schemas.openxmlformats.org/officeDocument/2006/relationships/hyperlink" Target="https://v.douyin.com/KJaISoIxLbU/" TargetMode="External"/><Relationship Id="rId31" Type="http://schemas.openxmlformats.org/officeDocument/2006/relationships/hyperlink" Target="https://v.douyin.com/EzilU_chRrE/" TargetMode="External"/><Relationship Id="rId32" Type="http://schemas.openxmlformats.org/officeDocument/2006/relationships/hyperlink" Target="https://v.douyin.com/v4bqWZel5Qc/" TargetMode="External"/><Relationship Id="rId33" Type="http://schemas.openxmlformats.org/officeDocument/2006/relationships/hyperlink" Target="https://v.douyin.com/yACJcyK96A4/" TargetMode="External"/><Relationship Id="rId35" Type="http://schemas.openxmlformats.org/officeDocument/2006/relationships/hyperlink" Target="https://v.douyin.com/ZnWPfsIG9XU/" TargetMode="External"/><Relationship Id="rId36" Type="http://schemas.openxmlformats.org/officeDocument/2006/relationships/hyperlink" Target="https://v.douyin.com/UhPgGSyTbak/" TargetMode="External"/><Relationship Id="rId37" Type="http://schemas.openxmlformats.org/officeDocument/2006/relationships/hyperlink" Target="https://v.douyin.com/oywc2rq4MRI/" TargetMode="External"/><Relationship Id="rId3" Type="http://schemas.openxmlformats.org/officeDocument/2006/relationships/hyperlink" Target="https://v.douyin.com/PXOEqRrTTWE/" TargetMode="External"/><Relationship Id="rId29" Type="http://schemas.openxmlformats.org/officeDocument/2006/relationships/hyperlink" Target="https://v.douyin.com/XbgCixFkm3o/" TargetMode="External"/><Relationship Id="rId4" Type="http://schemas.openxmlformats.org/officeDocument/2006/relationships/hyperlink" Target="https://v.douyin.com/QBFbHgS_qzs/" TargetMode="External"/><Relationship Id="rId5" Type="http://schemas.openxmlformats.org/officeDocument/2006/relationships/hyperlink" Target="https://v.douyin.com/Qpj1irNXt2o/" TargetMode="External"/><Relationship Id="rId6" Type="http://schemas.openxmlformats.org/officeDocument/2006/relationships/hyperlink" Target="https://v.douyin.com/balqG0MdVto/" TargetMode="External"/><Relationship Id="rId20" Type="http://schemas.openxmlformats.org/officeDocument/2006/relationships/hyperlink" Target="https://v.douyin.com/1_t7DAMMbt0/" TargetMode="External"/><Relationship Id="rId7" Type="http://schemas.openxmlformats.org/officeDocument/2006/relationships/hyperlink" Target="https://v.douyin.com/sddgZUvHCH8/" TargetMode="External"/></Relationships>
</file>

<file path=xl/worksheets/sheet1.xml><?xml version="1.0" encoding="utf-8"?>
<worksheet xmlns="http://schemas.openxmlformats.org/spreadsheetml/2006/main">
  <sheetPr codeName="维护标准">
    <tabColor/>
  </sheetPr>
  <dimension ref="G13"/>
  <sheetViews>
    <sheetView showGridLines="1" workbookViewId="0"/>
  </sheetViews>
  <sheetFormatPr baseColWidth="13" defaultRowHeight="18" customHeight="1"/>
  <cols>
    <col min="1" max="1" width="13.082" style="81" customWidth="1"/>
    <col min="2" max="2" width="13.082" style="81" customWidth="1"/>
    <col min="3" max="3" width="13.082" style="81" customWidth="1"/>
    <col min="4" max="4" width="11.1016" style="81" hidden="1" customWidth="1"/>
    <col min="5" max="5" width="10.3438" style="81" hidden="1" customWidth="1"/>
    <col min="6" max="6" width="12.7617" style="81" hidden="1" customWidth="1"/>
    <col min="7" max="7" width="19.832" style="81" customWidth="1"/>
    <col min="8" max="8" width="15.5117" style="81" customWidth="1"/>
    <col min="9" max="9" width="12.8125" style="82" customWidth="1"/>
    <col min="10" max="10" width="15.7812" style="81" customWidth="1"/>
    <col min="11" max="11" width="12.543" style="81" customWidth="1"/>
    <col min="12" max="19" width="12.1445" style="81" customWidth="1"/>
    <col min="20" max="21" width="11.4609" style="81" customWidth="1"/>
    <col min="22" max="22" width="8.80078" style="81" customWidth="1"/>
    <col min="23" max="23" width="10.2031" style="81" customWidth="1"/>
    <col min="24" max="24" width="17.793" style="83" customWidth="1"/>
    <col min="25" max="25" width="19.1914" style="83" customWidth="1"/>
    <col min="26" max="32" width="13.6719" style="83"/>
  </cols>
  <sheetData>
    <row r="1" spans="1:21" ht="43.5" customHeight="1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6" t="s"/>
      <c r="U1" s="6" t="s"/>
    </row>
    <row r="2" spans="1:32" s="10" customFormat="1" ht="79.5" customHeight="1">
      <c r="A2" s="7" t="s">
        <v>2</v>
      </c>
      <c r="B2" s="8" t="s"/>
      <c r="C2" s="8" t="s"/>
      <c r="D2" s="8" t="s"/>
      <c r="E2" s="8" t="s"/>
      <c r="F2" s="8" t="s"/>
      <c r="G2" s="8" t="s"/>
      <c r="H2" s="8" t="s"/>
      <c r="I2" s="8" t="s"/>
      <c r="J2" s="8" t="s"/>
      <c r="K2" s="8" t="s"/>
      <c r="L2" s="8" t="s"/>
      <c r="M2" s="8" t="s"/>
      <c r="N2" s="8" t="s"/>
      <c r="O2" s="8" t="s"/>
      <c r="P2" s="8" t="s"/>
      <c r="Q2" s="8" t="s"/>
      <c r="R2" s="8" t="s"/>
      <c r="S2" s="8" t="s"/>
      <c r="T2" s="9" t="s"/>
      <c r="U2" s="9" t="s"/>
      <c r="V2" s="10" t="s"/>
      <c r="W2" s="10" t="s"/>
      <c r="X2" s="10" t="s"/>
      <c r="Y2" s="10" t="s"/>
      <c r="Z2" s="10" t="s"/>
      <c r="AA2" s="10" t="s"/>
      <c r="AB2" s="10" t="s"/>
      <c r="AC2" s="10" t="s"/>
      <c r="AD2" s="10" t="s"/>
      <c r="AE2" s="10" t="s"/>
      <c r="AF2" s="10" t="s"/>
    </row>
    <row r="3" spans="1:32" s="10" customFormat="1">
      <c r="A3" s="11" t="s">
        <v>3</v>
      </c>
      <c r="B3" s="12" t="s">
        <v>4</v>
      </c>
      <c r="C3" s="12" t="s">
        <v>5</v>
      </c>
      <c r="D3" s="11" t="s">
        <v>6</v>
      </c>
      <c r="E3" s="11" t="s">
        <v>7</v>
      </c>
      <c r="F3" s="13" t="s">
        <v>8</v>
      </c>
      <c r="G3" s="14" t="s">
        <v>9</v>
      </c>
      <c r="H3" s="15" t="s">
        <v>10</v>
      </c>
      <c r="I3" s="16" t="s">
        <v>11</v>
      </c>
      <c r="J3" s="17" t="s">
        <v>12</v>
      </c>
      <c r="K3" s="18" t="s">
        <v>13</v>
      </c>
      <c r="L3" s="17" t="s">
        <v>14</v>
      </c>
      <c r="M3" s="17" t="s">
        <v>15</v>
      </c>
      <c r="N3" s="17" t="s">
        <v>16</v>
      </c>
      <c r="O3" s="17" t="s">
        <v>17</v>
      </c>
      <c r="P3" s="11" t="s">
        <v>18</v>
      </c>
      <c r="Q3" s="11" t="s">
        <v>19</v>
      </c>
      <c r="R3" s="17" t="s">
        <v>20</v>
      </c>
      <c r="S3" s="11" t="s">
        <v>21</v>
      </c>
      <c r="T3" s="19" t="s">
        <v>22</v>
      </c>
      <c r="U3" s="19" t="s">
        <v>23</v>
      </c>
      <c r="V3" s="10" t="s">
        <v>24</v>
      </c>
      <c r="W3" s="10" t="s">
        <v>25</v>
      </c>
      <c r="X3" s="10" t="s">
        <v>26</v>
      </c>
      <c r="Y3" s="10" t="s">
        <v>27</v>
      </c>
      <c r="Z3" s="10" t="s"/>
      <c r="AA3" s="10" t="s"/>
      <c r="AB3" s="10" t="s"/>
      <c r="AC3" s="10" t="s"/>
      <c r="AD3" s="10" t="s"/>
      <c r="AE3" s="10" t="s"/>
      <c r="AF3" s="10" t="s"/>
    </row>
    <row r="4" spans="1:32" s="10" customFormat="1">
      <c r="A4" s="20" t="s">
        <v>28</v>
      </c>
      <c r="B4" s="21">
        <v>14800</v>
      </c>
      <c r="C4" s="21">
        <v>16600</v>
      </c>
      <c r="D4" s="22">
        <v>57000</v>
      </c>
      <c r="E4" s="23">
        <f>=B4/D4*1000</f>
        <v>259.649122807018</v>
      </c>
      <c r="F4" s="24">
        <v>69000</v>
      </c>
      <c r="G4" s="25">
        <v>14800</v>
      </c>
      <c r="H4" s="25">
        <v>16600</v>
      </c>
      <c r="I4" s="26">
        <f>=(H4-C4)/C4</f>
        <v>0</v>
      </c>
      <c r="J4" s="27">
        <f>=(H4*80%)*1000/30</f>
        <v>442666.666666667</v>
      </c>
      <c r="K4" s="24">
        <f>=H4/200*1000*1.5</f>
        <v>124500</v>
      </c>
      <c r="L4" s="28">
        <f>=K4*17/1000</f>
        <v>2116.5</v>
      </c>
      <c r="M4" s="28">
        <f>=K4*20/1000</f>
        <v>2490</v>
      </c>
      <c r="N4" s="28">
        <f>=J4-K4</f>
        <v>318166.666666667</v>
      </c>
      <c r="O4" s="28">
        <f>=(N4/1000)*5.5</f>
        <v>1749.91666666667</v>
      </c>
      <c r="P4" s="28">
        <f>=30*18+200*0.8+300*0.2+200*0.1</f>
        <v>780</v>
      </c>
      <c r="Q4" s="28">
        <f>=M4+O4+P4</f>
        <v>5019.91666666667</v>
      </c>
      <c r="R4" s="28">
        <f>=(H4*70%)-Q4</f>
        <v>6600.08333333333</v>
      </c>
      <c r="S4" s="29">
        <f>=R4/H4</f>
        <v>0.397595381526104</v>
      </c>
      <c r="T4" s="30">
        <f>=R4*0.65</f>
        <v>4290.05416666667</v>
      </c>
      <c r="U4" s="29">
        <f>=T4/H4</f>
        <v>0.258436997991968</v>
      </c>
      <c r="V4" s="10">
        <v>197.3</v>
      </c>
      <c r="W4" s="10">
        <v>7</v>
      </c>
      <c r="X4" s="10">
        <v>237.6</v>
      </c>
      <c r="Y4" s="10">
        <v>7</v>
      </c>
      <c r="Z4" s="10" t="s"/>
      <c r="AA4" s="10" t="s"/>
      <c r="AB4" s="10" t="s"/>
      <c r="AC4" s="10" t="s"/>
      <c r="AD4" s="10" t="s"/>
      <c r="AE4" s="10" t="s"/>
      <c r="AF4" s="10" t="s"/>
    </row>
    <row r="5" spans="1:32" s="10" customFormat="1">
      <c r="A5" s="20" t="s">
        <v>29</v>
      </c>
      <c r="B5" s="21">
        <v>11900</v>
      </c>
      <c r="C5" s="21">
        <v>14300</v>
      </c>
      <c r="D5" s="22">
        <v>32000</v>
      </c>
      <c r="E5" s="23">
        <f>=B5/D5*1000</f>
        <v>371.875</v>
      </c>
      <c r="F5" s="24">
        <v>54000</v>
      </c>
      <c r="G5" s="31">
        <f>=H5*0.7</f>
        <v>12600</v>
      </c>
      <c r="H5" s="21">
        <v>18000</v>
      </c>
      <c r="I5" s="32">
        <f>=(H5-C5)/C5</f>
        <v>0.258741258741259</v>
      </c>
      <c r="J5" s="27">
        <f>=(H5*80%)*1000/30</f>
        <v>480000</v>
      </c>
      <c r="K5" s="24">
        <f>=H5/200*1000*1.5</f>
        <v>135000</v>
      </c>
      <c r="L5" s="28">
        <f>=K5*17/1000</f>
        <v>2295</v>
      </c>
      <c r="M5" s="28">
        <f>=K5*20/1000</f>
        <v>2700</v>
      </c>
      <c r="N5" s="28">
        <f>=J5-K5</f>
        <v>345000</v>
      </c>
      <c r="O5" s="28">
        <f>=(N5/1000)*5.5</f>
        <v>1897.5</v>
      </c>
      <c r="P5" s="28">
        <f>=20*18+200*0.8+300*0.2+200*0.1</f>
        <v>600</v>
      </c>
      <c r="Q5" s="28">
        <f>=M5+O5+P5</f>
        <v>5197.5</v>
      </c>
      <c r="R5" s="28">
        <f>=(H5*70%)-Q5</f>
        <v>7402.5</v>
      </c>
      <c r="S5" s="29">
        <f>=R5/H5</f>
        <v>0.41125</v>
      </c>
      <c r="T5" s="33">
        <f>=R5*0.65</f>
        <v>4811.625</v>
      </c>
      <c r="U5" s="29">
        <f>=T5/H5</f>
        <v>0.2673125</v>
      </c>
      <c r="V5" s="10">
        <v>257.1</v>
      </c>
      <c r="W5" s="10">
        <v>5.6</v>
      </c>
      <c r="X5" s="10">
        <v>257.1</v>
      </c>
      <c r="Y5" s="10">
        <v>5.6</v>
      </c>
      <c r="Z5" s="10" t="s"/>
      <c r="AA5" s="10" t="s"/>
      <c r="AB5" s="10" t="s"/>
      <c r="AC5" s="10" t="s"/>
      <c r="AD5" s="10" t="s"/>
      <c r="AE5" s="10" t="s"/>
      <c r="AF5" s="10" t="s"/>
    </row>
    <row r="6" spans="1:32" s="10" customFormat="1">
      <c r="A6" s="20" t="s">
        <v>30</v>
      </c>
      <c r="B6" s="21">
        <v>14250</v>
      </c>
      <c r="C6" s="21">
        <v>17100</v>
      </c>
      <c r="D6" s="22">
        <v>261000</v>
      </c>
      <c r="E6" s="23">
        <f>=B6/D6*1000</f>
        <v>54.5977011494253</v>
      </c>
      <c r="F6" s="24">
        <v>189000</v>
      </c>
      <c r="G6" s="31">
        <f>=H6*0.7</f>
        <v>14000</v>
      </c>
      <c r="H6" s="21">
        <v>20000</v>
      </c>
      <c r="I6" s="32">
        <f>=(H6-C6)/C6</f>
        <v>0.169590643274854</v>
      </c>
      <c r="J6" s="27">
        <f>=(H6*80%)*1000/30</f>
        <v>533333.333333334</v>
      </c>
      <c r="K6" s="24">
        <f>=H6/200*1000*1.5</f>
        <v>150000</v>
      </c>
      <c r="L6" s="28">
        <f>=K6*17/1000</f>
        <v>2550</v>
      </c>
      <c r="M6" s="28">
        <f>=K6*20/1000</f>
        <v>3000</v>
      </c>
      <c r="N6" s="28">
        <f>=J6-K6</f>
        <v>383333.333333333</v>
      </c>
      <c r="O6" s="28">
        <f>=(N6/1000)*5.5</f>
        <v>2108.33333333333</v>
      </c>
      <c r="P6" s="28">
        <f>=30*18+200*0.8+300*0.2+200*0.1</f>
        <v>780</v>
      </c>
      <c r="Q6" s="28">
        <f>=M6+O6+P6</f>
        <v>5888.33333333334</v>
      </c>
      <c r="R6" s="28">
        <f>=(H6*70%)-Q6</f>
        <v>8111.66666666667</v>
      </c>
      <c r="S6" s="29">
        <f>=R6/H6</f>
        <v>0.405583333333333</v>
      </c>
      <c r="T6" s="33">
        <f>=R6*0.65</f>
        <v>5272.58333333333</v>
      </c>
      <c r="U6" s="29">
        <f>=T6/H6</f>
        <v>0.263629166666667</v>
      </c>
      <c r="V6" s="10">
        <v>53.7</v>
      </c>
      <c r="W6" s="10">
        <v>19.1</v>
      </c>
      <c r="X6" s="10">
        <v>53.9</v>
      </c>
      <c r="Y6" s="10">
        <v>19.1</v>
      </c>
      <c r="Z6" s="10" t="s"/>
      <c r="AA6" s="10" t="s"/>
      <c r="AB6" s="10" t="s"/>
      <c r="AC6" s="10" t="s"/>
      <c r="AD6" s="10" t="s"/>
      <c r="AE6" s="10" t="s"/>
      <c r="AF6" s="10" t="s"/>
    </row>
    <row r="7" spans="1:32" s="10" customFormat="1">
      <c r="A7" s="20" t="s">
        <v>31</v>
      </c>
      <c r="B7" s="21">
        <v>8000</v>
      </c>
      <c r="C7" s="21">
        <v>10000</v>
      </c>
      <c r="D7" s="22">
        <v>35000</v>
      </c>
      <c r="E7" s="23">
        <f>=B7/D7*1000</f>
        <v>228.571428571429</v>
      </c>
      <c r="F7" s="24">
        <v>84000</v>
      </c>
      <c r="G7" s="34">
        <f>=H7*0.7</f>
        <v>8400</v>
      </c>
      <c r="H7" s="25">
        <v>12000</v>
      </c>
      <c r="I7" s="26">
        <f>=(H7-C7)/C7</f>
        <v>0.2</v>
      </c>
      <c r="J7" s="27">
        <f>=(H7*80%)*1000/30</f>
        <v>320000</v>
      </c>
      <c r="K7" s="24">
        <f>=H7/200*1000*1.5</f>
        <v>90000</v>
      </c>
      <c r="L7" s="28">
        <f>=K7*17/1000</f>
        <v>1530</v>
      </c>
      <c r="M7" s="28">
        <f>=K7*20/1000</f>
        <v>1800</v>
      </c>
      <c r="N7" s="28">
        <f>=J7-K7</f>
        <v>230000</v>
      </c>
      <c r="O7" s="28">
        <f>=(N7/1000)*5.5</f>
        <v>1265</v>
      </c>
      <c r="P7" s="28">
        <f>=15*18+200*0.8+300*0.2+200*0.1</f>
        <v>510</v>
      </c>
      <c r="Q7" s="28">
        <f>=M7+O7+P7</f>
        <v>3575</v>
      </c>
      <c r="R7" s="28">
        <f>=(H7*70%)-Q7</f>
        <v>4825</v>
      </c>
      <c r="S7" s="29">
        <f>=R7/H7</f>
        <v>0.402083333333333</v>
      </c>
      <c r="T7" s="33">
        <f>=R7*0.65</f>
        <v>3136.25</v>
      </c>
      <c r="U7" s="29">
        <f>=T7/H7</f>
        <v>0.261354166666667</v>
      </c>
      <c r="V7" s="10">
        <v>169.2</v>
      </c>
      <c r="W7" s="35">
        <v>95</v>
      </c>
      <c r="X7" s="10">
        <v>203.8</v>
      </c>
      <c r="Y7" s="10">
        <v>8.4</v>
      </c>
      <c r="Z7" s="10" t="s"/>
      <c r="AA7" s="10" t="s"/>
      <c r="AB7" s="10" t="s"/>
      <c r="AC7" s="10" t="s"/>
      <c r="AD7" s="10" t="s"/>
      <c r="AE7" s="10" t="s"/>
      <c r="AF7" s="10" t="s"/>
    </row>
    <row r="8" spans="1:32" s="10" customFormat="1">
      <c r="A8" s="20" t="s">
        <v>32</v>
      </c>
      <c r="B8" s="21">
        <v>15000</v>
      </c>
      <c r="C8" s="21">
        <v>18000</v>
      </c>
      <c r="D8" s="22">
        <v>13000</v>
      </c>
      <c r="E8" s="23">
        <f>=B8/D8*1000</f>
        <v>1153.84615384615</v>
      </c>
      <c r="F8" s="24">
        <v>84000</v>
      </c>
      <c r="G8" s="31">
        <f>=H8*0.7</f>
        <v>14000</v>
      </c>
      <c r="H8" s="21">
        <v>20000</v>
      </c>
      <c r="I8" s="32">
        <f>=(H8-C8)/C8</f>
        <v>0.111111111111111</v>
      </c>
      <c r="J8" s="27">
        <f>=(H8*80%)*1000/30</f>
        <v>533333.333333334</v>
      </c>
      <c r="K8" s="24">
        <f>=H8/200*1000*1.5</f>
        <v>150000</v>
      </c>
      <c r="L8" s="28">
        <f>=K8*17/1000</f>
        <v>2550</v>
      </c>
      <c r="M8" s="28">
        <f>=K8*20/1000</f>
        <v>3000</v>
      </c>
      <c r="N8" s="28">
        <f>=J8-K8</f>
        <v>383333.333333333</v>
      </c>
      <c r="O8" s="28">
        <f>=(N8/1000)*5.5</f>
        <v>2108.33333333333</v>
      </c>
      <c r="P8" s="28">
        <f>=30*18+200*0.8+300*0.2+200*0.1</f>
        <v>780</v>
      </c>
      <c r="Q8" s="28">
        <f>=M8+O8+P8</f>
        <v>5888.33333333334</v>
      </c>
      <c r="R8" s="28">
        <f>=(H8*70%)-Q8</f>
        <v>8111.66666666667</v>
      </c>
      <c r="S8" s="29">
        <f>=R8/H8</f>
        <v>0.405583333333333</v>
      </c>
      <c r="T8" s="33">
        <f>=R8*0.65</f>
        <v>5272.58333333333</v>
      </c>
      <c r="U8" s="29">
        <f>=T8/H8</f>
        <v>0.263629166666667</v>
      </c>
      <c r="V8" s="36">
        <v>1210.6</v>
      </c>
      <c r="W8" s="37">
        <v>10.9</v>
      </c>
      <c r="X8" s="37">
        <v>1281</v>
      </c>
      <c r="Y8" s="10">
        <v>10.9</v>
      </c>
      <c r="Z8" s="10" t="s"/>
      <c r="AA8" s="10" t="s"/>
      <c r="AB8" s="10" t="s"/>
      <c r="AC8" s="10" t="s"/>
      <c r="AD8" s="10" t="s"/>
      <c r="AE8" s="10" t="s"/>
      <c r="AF8" s="10" t="s"/>
    </row>
    <row r="9" spans="1:32" s="10" customFormat="1">
      <c r="A9" s="20" t="s">
        <v>33</v>
      </c>
      <c r="B9" s="21">
        <v>10000</v>
      </c>
      <c r="C9" s="21">
        <v>12000</v>
      </c>
      <c r="D9" s="22">
        <v>26000</v>
      </c>
      <c r="E9" s="23">
        <f>=B9/D9*1000</f>
        <v>384.615384615385</v>
      </c>
      <c r="F9" s="24">
        <v>70000</v>
      </c>
      <c r="G9" s="34">
        <f>=H9*0.7</f>
        <v>10500</v>
      </c>
      <c r="H9" s="25">
        <v>15000</v>
      </c>
      <c r="I9" s="26">
        <f>=(H9-C9)/C9</f>
        <v>0.25</v>
      </c>
      <c r="J9" s="27">
        <f>=(H9*80%)*1000/30</f>
        <v>400000</v>
      </c>
      <c r="K9" s="24">
        <f>=H9/200*1000*1.5</f>
        <v>112500</v>
      </c>
      <c r="L9" s="28">
        <f>=K9*17/1000</f>
        <v>1912.5</v>
      </c>
      <c r="M9" s="28">
        <f>=K9*20/1000</f>
        <v>2250</v>
      </c>
      <c r="N9" s="28">
        <f>=J9-K9</f>
        <v>287500</v>
      </c>
      <c r="O9" s="28">
        <f>=(N9/1000)*5.5</f>
        <v>1581.25</v>
      </c>
      <c r="P9" s="28">
        <f>=20*18+200*0.8+300*0.2+200*0.1</f>
        <v>600</v>
      </c>
      <c r="Q9" s="28">
        <f>=M9+O9+P9</f>
        <v>4431.25</v>
      </c>
      <c r="R9" s="28">
        <f>=(H9*70%)-Q9</f>
        <v>6068.75</v>
      </c>
      <c r="S9" s="29">
        <f>=R9/H9</f>
        <v>0.404583333333333</v>
      </c>
      <c r="T9" s="33">
        <f>=R9*0.65</f>
        <v>3944.6875</v>
      </c>
      <c r="U9" s="29">
        <f>=T9/H9</f>
        <v>0.262979166666667</v>
      </c>
      <c r="V9" s="10">
        <v>138.7</v>
      </c>
      <c r="W9" s="10">
        <v>30.7</v>
      </c>
      <c r="X9" s="10">
        <v>199</v>
      </c>
      <c r="Y9" s="10">
        <v>30.7</v>
      </c>
      <c r="Z9" s="10" t="s"/>
      <c r="AA9" s="10" t="s"/>
      <c r="AB9" s="10" t="s"/>
      <c r="AC9" s="10" t="s"/>
      <c r="AD9" s="10" t="s"/>
      <c r="AE9" s="10" t="s"/>
      <c r="AF9" s="10" t="s"/>
    </row>
    <row r="10" spans="1:32" s="10" customFormat="1">
      <c r="A10" s="20" t="s">
        <v>34</v>
      </c>
      <c r="B10" s="21">
        <v>8000</v>
      </c>
      <c r="C10" s="21">
        <v>10000</v>
      </c>
      <c r="D10" s="22">
        <v>26000</v>
      </c>
      <c r="E10" s="23">
        <f>=B10/D10*1000</f>
        <v>307.692307692308</v>
      </c>
      <c r="F10" s="24">
        <v>97000</v>
      </c>
      <c r="G10" s="25">
        <v>8000</v>
      </c>
      <c r="H10" s="25">
        <v>10000</v>
      </c>
      <c r="I10" s="26">
        <f>=(H10-C10)/C10</f>
        <v>0</v>
      </c>
      <c r="J10" s="27">
        <f>=(H10*80%)*1000/30</f>
        <v>266666.666666667</v>
      </c>
      <c r="K10" s="24">
        <f>=H10/200*1000*1.5</f>
        <v>75000</v>
      </c>
      <c r="L10" s="28">
        <f>=K10*17/1000</f>
        <v>1275</v>
      </c>
      <c r="M10" s="28">
        <f>=K10*20/1000</f>
        <v>1500</v>
      </c>
      <c r="N10" s="28">
        <f>=J10-K10</f>
        <v>191666.666666667</v>
      </c>
      <c r="O10" s="28">
        <f>=(N10/1000)*5.5</f>
        <v>1054.16666666667</v>
      </c>
      <c r="P10" s="28">
        <f>=15*18+200*0.8+300*0.2+200*0.1</f>
        <v>510</v>
      </c>
      <c r="Q10" s="28">
        <f>=M10+O10+P10</f>
        <v>3064.16666666667</v>
      </c>
      <c r="R10" s="28">
        <f>=(H10*70%)-Q10</f>
        <v>3935.83333333333</v>
      </c>
      <c r="S10" s="29">
        <f>=R10/H10</f>
        <v>0.393583333333333</v>
      </c>
      <c r="T10" s="33">
        <f>=R10*0.65</f>
        <v>2558.29166666667</v>
      </c>
      <c r="U10" s="29">
        <f>=T10/H10</f>
        <v>0.255829166666667</v>
      </c>
      <c r="V10" s="10">
        <v>224.8</v>
      </c>
      <c r="W10" s="10">
        <v>13.7</v>
      </c>
      <c r="X10" s="10">
        <v>228.5</v>
      </c>
      <c r="Y10" s="10">
        <v>13.6</v>
      </c>
      <c r="Z10" s="10" t="s"/>
      <c r="AA10" s="10" t="s"/>
      <c r="AB10" s="10" t="s"/>
      <c r="AC10" s="10" t="s"/>
      <c r="AD10" s="10" t="s"/>
      <c r="AE10" s="10" t="s"/>
      <c r="AF10" s="10" t="s"/>
    </row>
    <row r="13" spans="7:7">
      <c r="G13" t="s">
        <v>35</v>
      </c>
    </row>
  </sheetData>
  <mergeCells count="2">
    <mergeCell ref="A1:U1"/>
    <mergeCell ref="A2:U2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 codeName="需补DOU+"/>
  <dimension ref="M213"/>
  <sheetViews>
    <sheetView showGridLines="1" workbookViewId="0">
      <pane ySplit="2" topLeftCell="A3" state="frozen"/>
    </sheetView>
  </sheetViews>
  <cols>
    <col min="1" max="1" width="6.34375" style="48" customWidth="1"/>
    <col min="2" max="2" width="13.6719" style="48"/>
    <col min="3" max="3" width="19.793" style="48" customWidth="1"/>
    <col min="4" max="4" width="33.5938" style="48" customWidth="1"/>
    <col min="5" max="5" width="15.2422" style="48" customWidth="1"/>
    <col min="6" max="6" width="15.2422" style="48" customWidth="1"/>
    <col min="7" max="8" width="13.6719" style="48"/>
    <col min="9" max="9" width="19.0234" style="48" customWidth="1"/>
    <col min="10" max="10" width="13.6719" style="48"/>
    <col min="11" max="11" width="12.0938" style="48" customWidth="1"/>
    <col min="12" max="12" width="8.13281" style="48" customWidth="1"/>
    <col min="13" max="13" width="13.6719" style="48"/>
    <col min="14" max="14" width="13.6719" style="48" customWidth="1"/>
    <col min="15" max="16" width="13.6719" style="48" customWidth="1"/>
    <col min="17" max="17" width="26.9219" style="48" customWidth="1"/>
    <col min="18" max="18" width="21.1836" style="48" customWidth="1"/>
    <col min="19" max="19" width="21.043" style="48" customWidth="1"/>
    <col min="20" max="20" width="15.2422" style="48" customWidth="1"/>
    <col min="21" max="21" width="23.3438" style="48" customWidth="1"/>
    <col min="22" max="22" width="26.7031" style="48" customWidth="1"/>
    <col min="23" max="31" width="13.6719" style="48"/>
  </cols>
  <sheetData>
    <row r="1" spans="1:31" s="84" customFormat="1" ht="28.5" customHeight="1">
      <c r="A1" s="38" t="s">
        <v>36</v>
      </c>
      <c r="B1" s="39" t="s">
        <v>3</v>
      </c>
      <c r="C1" s="39" t="s">
        <v>37</v>
      </c>
      <c r="D1" s="39" t="s">
        <v>38</v>
      </c>
      <c r="E1" s="40" t="s">
        <v>39</v>
      </c>
      <c r="F1" s="39" t="s">
        <v>40</v>
      </c>
      <c r="G1" s="41" t="s"/>
      <c r="H1" s="41" t="s"/>
      <c r="I1" s="42" t="s">
        <v>41</v>
      </c>
      <c r="J1" s="39" t="s">
        <v>42</v>
      </c>
      <c r="K1" s="43" t="s">
        <v>43</v>
      </c>
      <c r="L1" s="43" t="s">
        <v>44</v>
      </c>
      <c r="M1" s="43" t="s"/>
      <c r="N1" s="44" t="s">
        <v>45</v>
      </c>
      <c r="O1" s="44" t="s">
        <v>46</v>
      </c>
      <c r="P1" s="44" t="s">
        <v>47</v>
      </c>
      <c r="Q1" s="44" t="s">
        <v>48</v>
      </c>
      <c r="R1" s="45" t="s">
        <v>99</v>
      </c>
      <c r="S1" s="45" t="s">
        <v>100</v>
      </c>
      <c r="T1" s="45" t="s">
        <v>101</v>
      </c>
      <c r="U1" s="45" t="s">
        <v>102</v>
      </c>
      <c r="V1" s="45" t="s">
        <v>49</v>
      </c>
      <c r="W1" s="43" t="s"/>
      <c r="X1" s="43" t="s"/>
      <c r="Y1" s="43" t="s"/>
      <c r="Z1" s="43" t="s"/>
      <c r="AA1" s="43" t="s"/>
      <c r="AB1" s="43" t="s"/>
      <c r="AC1" s="43" t="s"/>
      <c r="AD1" s="43" t="s"/>
      <c r="AE1" s="43" t="s"/>
    </row>
    <row r="2" spans="1:31" s="84" customFormat="1" ht="27" hidden="1" customHeight="1">
      <c r="A2" s="41" t="s"/>
      <c r="B2" s="41" t="s"/>
      <c r="C2" s="41" t="s"/>
      <c r="D2" s="41" t="s"/>
      <c r="E2" s="41" t="s"/>
      <c r="F2" s="39" t="s">
        <v>50</v>
      </c>
      <c r="G2" s="39" t="s">
        <v>51</v>
      </c>
      <c r="H2" s="46" t="s">
        <v>52</v>
      </c>
      <c r="I2" s="47" t="s"/>
      <c r="J2" s="41" t="s"/>
      <c r="K2" s="43" t="s"/>
      <c r="L2" s="43" t="s"/>
      <c r="M2" s="43" t="s"/>
      <c r="N2" s="41" t="s"/>
      <c r="O2" s="41" t="s"/>
      <c r="P2" s="41" t="s"/>
      <c r="Q2" s="41" t="s"/>
      <c r="R2" s="41" t="s"/>
      <c r="S2" s="41" t="s"/>
      <c r="T2" s="41" t="s"/>
      <c r="U2" s="41" t="s"/>
      <c r="V2" s="41" t="s"/>
      <c r="W2" s="43" t="s"/>
      <c r="X2" s="43" t="s"/>
      <c r="Y2" s="43" t="s"/>
      <c r="Z2" s="43" t="s"/>
      <c r="AA2" s="43" t="s"/>
      <c r="AB2" s="43" t="s"/>
      <c r="AC2" s="43" t="s"/>
      <c r="AD2" s="43" t="s"/>
      <c r="AE2" s="43" t="s"/>
    </row>
    <row r="3" spans="1:22" ht="21" hidden="1" customHeight="1">
      <c r="A3" s="48" t="s"/>
      <c r="B3" s="48" t="s">
        <v>29</v>
      </c>
      <c r="C3" s="48" t="s">
        <v>53</v>
      </c>
      <c r="D3" s="49" t="s">
        <v>103</v>
      </c>
      <c r="E3" s="50" t="s">
        <v>54</v>
      </c>
      <c r="F3" s="51">
        <v>2164</v>
      </c>
      <c r="G3" s="48">
        <v>0</v>
      </c>
      <c r="H3" s="48">
        <f>=F3+G3</f>
        <v>2164</v>
      </c>
      <c r="I3" s="48">
        <v>16000</v>
      </c>
      <c r="J3" s="48" t="s">
        <v>55</v>
      </c>
      <c r="K3" s="48" t="s"/>
      <c r="L3" s="48" t="s"/>
      <c r="M3" s="48" t="s"/>
      <c r="N3" s="52" t="s">
        <v>29</v>
      </c>
      <c r="O3" s="52">
        <v>6</v>
      </c>
      <c r="P3" s="53">
        <v>3700</v>
      </c>
      <c r="Q3" s="52" t="s">
        <v>56</v>
      </c>
      <c r="R3" s="52">
        <v>57000</v>
      </c>
      <c r="S3" s="54">
        <v>110000</v>
      </c>
      <c r="T3" s="52">
        <v>27000</v>
      </c>
      <c r="U3" s="54">
        <v>130000</v>
      </c>
      <c r="V3" s="55">
        <f>=R14/U3*1000</f>
        <v>138.461538461539</v>
      </c>
    </row>
    <row r="4" spans="1:31" ht="21" hidden="1" customHeight="1">
      <c r="A4" s="48" t="s"/>
      <c r="B4" s="48" t="s">
        <v>29</v>
      </c>
      <c r="C4" s="51" t="s">
        <v>57</v>
      </c>
      <c r="D4" s="56" t="s">
        <v>104</v>
      </c>
      <c r="E4" s="50" t="s">
        <v>54</v>
      </c>
      <c r="F4" s="48">
        <v>1574</v>
      </c>
      <c r="G4" s="48">
        <v>0</v>
      </c>
      <c r="H4" s="48">
        <f>=F4+G4</f>
        <v>1574</v>
      </c>
      <c r="I4" s="48">
        <v>10000</v>
      </c>
      <c r="J4" s="48" t="s">
        <v>55</v>
      </c>
      <c r="K4" s="48" t="s"/>
      <c r="L4" s="48" t="s"/>
      <c r="M4" s="48" t="s"/>
      <c r="N4" s="52" t="s">
        <v>33</v>
      </c>
      <c r="O4" s="52">
        <v>3</v>
      </c>
      <c r="P4" s="53">
        <v>3100</v>
      </c>
      <c r="Q4" s="52" t="s">
        <v>58</v>
      </c>
      <c r="R4" s="52">
        <v>35000</v>
      </c>
      <c r="S4" s="54">
        <v>110000</v>
      </c>
      <c r="T4" s="52">
        <v>32000</v>
      </c>
      <c r="U4" s="54">
        <v>140000</v>
      </c>
      <c r="V4" s="57">
        <f>=R15/U4*1000</f>
        <v>128.571428571429</v>
      </c>
      <c r="W4" s="48" t="s"/>
      <c r="X4" s="48" t="s"/>
      <c r="Y4" s="48" t="s"/>
      <c r="Z4" s="48" t="s"/>
      <c r="AA4" s="48" t="s"/>
      <c r="AB4" s="48" t="s"/>
      <c r="AC4" s="48" t="s"/>
      <c r="AD4" s="48" t="s"/>
      <c r="AE4" s="48" t="s"/>
    </row>
    <row r="5" spans="1:31" ht="21" hidden="1" customHeight="1">
      <c r="A5" s="48" t="s"/>
      <c r="B5" s="48" t="s">
        <v>29</v>
      </c>
      <c r="C5" s="48" t="s">
        <v>59</v>
      </c>
      <c r="D5" s="58" t="s">
        <v>105</v>
      </c>
      <c r="E5" s="50" t="s">
        <v>54</v>
      </c>
      <c r="F5" s="48">
        <v>1576</v>
      </c>
      <c r="G5" s="48">
        <v>500</v>
      </c>
      <c r="H5" s="48">
        <f>=F5+G5</f>
        <v>2076</v>
      </c>
      <c r="I5" s="48">
        <v>29100</v>
      </c>
      <c r="J5" s="48" t="s">
        <v>55</v>
      </c>
      <c r="K5" s="48" t="s"/>
      <c r="L5" s="48" t="s"/>
      <c r="M5" s="48" t="s"/>
      <c r="N5" s="52" t="s">
        <v>31</v>
      </c>
      <c r="O5" s="52">
        <v>2</v>
      </c>
      <c r="P5" s="53">
        <v>2000</v>
      </c>
      <c r="Q5" s="52" t="s">
        <v>60</v>
      </c>
      <c r="R5" s="52">
        <v>46000</v>
      </c>
      <c r="S5" s="54">
        <v>100000</v>
      </c>
      <c r="T5" s="52">
        <v>43000</v>
      </c>
      <c r="U5" s="54">
        <v>130000</v>
      </c>
      <c r="V5" s="57">
        <f>=R16/U5*1000</f>
        <v>115.384615384615</v>
      </c>
      <c r="W5" s="48" t="s"/>
      <c r="X5" s="48" t="s"/>
      <c r="Y5" s="48" t="s"/>
      <c r="Z5" s="48" t="s"/>
      <c r="AA5" s="48" t="s"/>
      <c r="AB5" s="48" t="s"/>
      <c r="AC5" s="48" t="s"/>
      <c r="AD5" s="48" t="s"/>
      <c r="AE5" s="48" t="s"/>
    </row>
    <row r="6" spans="1:31" ht="21" hidden="1" customHeight="1">
      <c r="A6" s="48" t="s"/>
      <c r="B6" s="48" t="s">
        <v>29</v>
      </c>
      <c r="C6" s="48" t="s">
        <v>61</v>
      </c>
      <c r="D6" s="49" t="s">
        <v>106</v>
      </c>
      <c r="E6" s="50" t="s">
        <v>62</v>
      </c>
      <c r="F6" s="48">
        <v>1650</v>
      </c>
      <c r="G6" s="48">
        <v>500</v>
      </c>
      <c r="H6" s="48">
        <f>=F6+G6</f>
        <v>2150</v>
      </c>
      <c r="I6" s="48">
        <v>25700</v>
      </c>
      <c r="J6" s="48" t="s">
        <v>55</v>
      </c>
      <c r="K6" s="48" t="s"/>
      <c r="L6" s="48" t="s"/>
      <c r="M6" s="48" t="s"/>
      <c r="N6" s="52" t="s">
        <v>28</v>
      </c>
      <c r="O6" s="52">
        <v>3</v>
      </c>
      <c r="P6" s="53">
        <v>3000</v>
      </c>
      <c r="Q6" s="52" t="s">
        <v>63</v>
      </c>
      <c r="R6" s="52">
        <v>65000</v>
      </c>
      <c r="S6" s="54">
        <v>130000</v>
      </c>
      <c r="T6" s="52">
        <v>41000</v>
      </c>
      <c r="U6" s="54">
        <v>180000</v>
      </c>
      <c r="V6" s="57">
        <f>=R17/U6*1000</f>
        <v>111.111111111111</v>
      </c>
      <c r="W6" s="48" t="s"/>
      <c r="X6" s="48" t="s"/>
      <c r="Y6" s="48" t="s"/>
      <c r="Z6" s="48" t="s"/>
      <c r="AA6" s="48" t="s"/>
      <c r="AB6" s="48" t="s"/>
      <c r="AC6" s="48" t="s"/>
      <c r="AD6" s="48" t="s"/>
      <c r="AE6" s="48" t="s"/>
    </row>
    <row r="7" spans="1:31" ht="21" customHeight="1">
      <c r="A7" s="48" t="s"/>
      <c r="B7" s="48" t="s">
        <v>29</v>
      </c>
      <c r="C7" s="51" t="s">
        <v>64</v>
      </c>
      <c r="D7" s="48" t="s">
        <v>107</v>
      </c>
      <c r="E7" s="50" t="s">
        <v>62</v>
      </c>
      <c r="F7" s="48">
        <v>2085</v>
      </c>
      <c r="G7" s="48">
        <v>0</v>
      </c>
      <c r="H7" s="48">
        <f>=F7+G7</f>
        <v>2085</v>
      </c>
      <c r="I7" s="48">
        <v>20000</v>
      </c>
      <c r="J7" s="48">
        <v>500</v>
      </c>
      <c r="K7" s="48">
        <v>1</v>
      </c>
      <c r="L7" s="48">
        <v>1</v>
      </c>
      <c r="M7" s="48">
        <f>=SUM(J7:J12)</f>
        <v>3700</v>
      </c>
      <c r="N7" s="52" t="s">
        <v>32</v>
      </c>
      <c r="O7" s="52">
        <v>4</v>
      </c>
      <c r="P7" s="53">
        <v>5000</v>
      </c>
      <c r="Q7" s="52" t="s">
        <v>65</v>
      </c>
      <c r="R7" s="52">
        <v>29000</v>
      </c>
      <c r="S7" s="54">
        <v>125000</v>
      </c>
      <c r="T7" s="52">
        <v>16000</v>
      </c>
      <c r="U7" s="54">
        <v>150000</v>
      </c>
      <c r="V7" s="57">
        <f>=R18/U7*1000</f>
        <v>133.333333333333</v>
      </c>
      <c r="W7" s="48" t="s"/>
      <c r="X7" s="48" t="s"/>
      <c r="Y7" s="48" t="s"/>
      <c r="Z7" s="48" t="s"/>
      <c r="AA7" s="48" t="s"/>
      <c r="AB7" s="48" t="s"/>
      <c r="AC7" s="48" t="s"/>
      <c r="AD7" s="48" t="s"/>
      <c r="AE7" s="48" t="s"/>
    </row>
    <row r="8" spans="1:31" ht="21" customHeight="1">
      <c r="A8" s="48" t="s"/>
      <c r="B8" s="48" t="s">
        <v>29</v>
      </c>
      <c r="C8" s="51" t="s">
        <v>66</v>
      </c>
      <c r="D8" s="48" t="s">
        <v>108</v>
      </c>
      <c r="E8" s="50" t="s">
        <v>62</v>
      </c>
      <c r="F8" s="48">
        <v>1140</v>
      </c>
      <c r="G8" s="48">
        <v>1000</v>
      </c>
      <c r="H8" s="48">
        <f>=F8+G8</f>
        <v>2140</v>
      </c>
      <c r="I8" s="48">
        <v>55000</v>
      </c>
      <c r="J8" s="48">
        <v>800</v>
      </c>
      <c r="K8" s="48">
        <v>1</v>
      </c>
      <c r="L8" s="48">
        <v>1</v>
      </c>
      <c r="M8" s="48" t="s"/>
      <c r="N8" s="52" t="s">
        <v>30</v>
      </c>
      <c r="O8" s="52">
        <v>1</v>
      </c>
      <c r="P8" s="53">
        <v>1000</v>
      </c>
      <c r="Q8" s="52" t="s">
        <v>67</v>
      </c>
      <c r="R8" s="52">
        <v>458000</v>
      </c>
      <c r="S8" s="54" t="s">
        <v>55</v>
      </c>
      <c r="T8" s="52">
        <v>257000</v>
      </c>
      <c r="U8" s="54" t="s">
        <v>55</v>
      </c>
      <c r="V8" s="57" t="s">
        <v>55</v>
      </c>
      <c r="W8" s="48" t="s"/>
      <c r="X8" s="48" t="s"/>
      <c r="Y8" s="48" t="s"/>
      <c r="Z8" s="48" t="s"/>
      <c r="AA8" s="48" t="s"/>
      <c r="AB8" s="48" t="s"/>
      <c r="AC8" s="48" t="s"/>
      <c r="AD8" s="48" t="s"/>
      <c r="AE8" s="48" t="s"/>
    </row>
    <row r="9" spans="1:31" ht="21" customHeight="1">
      <c r="A9" s="48" t="s"/>
      <c r="B9" s="48" t="s">
        <v>29</v>
      </c>
      <c r="C9" s="51" t="s">
        <v>68</v>
      </c>
      <c r="D9" s="48" t="s">
        <v>109</v>
      </c>
      <c r="E9" s="50" t="s">
        <v>62</v>
      </c>
      <c r="F9" s="48">
        <v>1595</v>
      </c>
      <c r="G9" s="48">
        <v>1000</v>
      </c>
      <c r="H9" s="48">
        <f>=F9+G9</f>
        <v>2595</v>
      </c>
      <c r="I9" s="48">
        <v>59000</v>
      </c>
      <c r="J9" s="48">
        <v>800</v>
      </c>
      <c r="K9" s="48">
        <v>1</v>
      </c>
      <c r="L9" s="48">
        <v>1</v>
      </c>
      <c r="M9" s="48" t="s"/>
      <c r="N9" s="52" t="s">
        <v>34</v>
      </c>
      <c r="O9" s="52">
        <v>2</v>
      </c>
      <c r="P9" s="53">
        <v>1500</v>
      </c>
      <c r="Q9" s="52" t="s">
        <v>69</v>
      </c>
      <c r="R9" s="52">
        <v>38000</v>
      </c>
      <c r="S9" s="54">
        <v>90000</v>
      </c>
      <c r="T9" s="52">
        <v>26000</v>
      </c>
      <c r="U9" s="54">
        <v>100000</v>
      </c>
      <c r="V9" s="57">
        <f>=R20/U9*1000</f>
        <v>150</v>
      </c>
      <c r="W9" s="48" t="s"/>
      <c r="X9" s="48" t="s"/>
      <c r="Y9" s="48" t="s"/>
      <c r="Z9" s="48" t="s"/>
      <c r="AA9" s="48" t="s"/>
      <c r="AB9" s="48" t="s"/>
      <c r="AC9" s="48" t="s"/>
      <c r="AD9" s="48" t="s"/>
      <c r="AE9" s="48" t="s"/>
    </row>
    <row r="10" spans="1:31" ht="21" customHeight="1">
      <c r="A10" s="48" t="s"/>
      <c r="B10" s="48" t="s">
        <v>29</v>
      </c>
      <c r="C10" s="51" t="s">
        <v>70</v>
      </c>
      <c r="D10" s="48" t="s">
        <v>110</v>
      </c>
      <c r="E10" s="50" t="s">
        <v>62</v>
      </c>
      <c r="F10" s="48">
        <v>1090</v>
      </c>
      <c r="G10" s="48">
        <v>1000</v>
      </c>
      <c r="H10" s="48">
        <f>=F10+G10</f>
        <v>2090</v>
      </c>
      <c r="I10" s="48">
        <v>56000</v>
      </c>
      <c r="J10" s="48">
        <v>800</v>
      </c>
      <c r="K10" s="48">
        <v>1</v>
      </c>
      <c r="L10" s="48">
        <v>1</v>
      </c>
      <c r="M10" s="48" t="s"/>
      <c r="N10" s="52" t="s">
        <v>52</v>
      </c>
      <c r="O10" s="41" t="s"/>
      <c r="P10" s="53">
        <f>=SUM(P3:P9)</f>
        <v>19300</v>
      </c>
      <c r="Q10" s="54" t="s"/>
      <c r="R10" s="54" t="s"/>
      <c r="S10" s="54" t="s"/>
      <c r="T10" s="54" t="s"/>
      <c r="U10" s="54" t="s"/>
      <c r="V10" s="55" t="s"/>
      <c r="W10" s="48" t="s"/>
      <c r="X10" s="48" t="s"/>
      <c r="Y10" s="48" t="s"/>
      <c r="Z10" s="48" t="s"/>
      <c r="AA10" s="48" t="s"/>
      <c r="AB10" s="48" t="s"/>
      <c r="AC10" s="48" t="s"/>
      <c r="AD10" s="48" t="s"/>
      <c r="AE10" s="48" t="s"/>
    </row>
    <row r="11" spans="1:31" ht="21" hidden="1" customHeight="1">
      <c r="A11" s="48" t="s"/>
      <c r="B11" s="48" t="s">
        <v>29</v>
      </c>
      <c r="C11" s="51" t="s">
        <v>71</v>
      </c>
      <c r="D11" s="48" t="s">
        <v>111</v>
      </c>
      <c r="E11" s="50" t="s">
        <v>62</v>
      </c>
      <c r="F11" s="48">
        <v>1219</v>
      </c>
      <c r="G11" s="48">
        <v>1500</v>
      </c>
      <c r="H11" s="48">
        <f>=F11+G11</f>
        <v>2719</v>
      </c>
      <c r="I11" s="48">
        <v>93200</v>
      </c>
      <c r="J11" s="48" t="s">
        <v>55</v>
      </c>
      <c r="K11" s="48" t="s"/>
      <c r="L11" s="48" t="s"/>
      <c r="M11" s="48" t="s"/>
      <c r="P11" s="48">
        <f>=9800+23600</f>
        <v>33400</v>
      </c>
      <c r="V11" s="48" t="s"/>
      <c r="W11" s="48" t="s"/>
      <c r="X11" s="48" t="s"/>
      <c r="Y11" s="48" t="s"/>
      <c r="Z11" s="48" t="s"/>
      <c r="AA11" s="48" t="s"/>
      <c r="AB11" s="48" t="s"/>
      <c r="AC11" s="48" t="s"/>
      <c r="AD11" s="48" t="s"/>
      <c r="AE11" s="48" t="s"/>
    </row>
    <row r="12" spans="1:31" ht="21" customHeight="1">
      <c r="A12" s="48" t="s"/>
      <c r="B12" s="48" t="s">
        <v>29</v>
      </c>
      <c r="C12" s="51" t="s">
        <v>72</v>
      </c>
      <c r="D12" s="48" t="s">
        <v>112</v>
      </c>
      <c r="E12" s="50" t="s">
        <v>62</v>
      </c>
      <c r="F12" s="48">
        <v>1411</v>
      </c>
      <c r="G12" s="48">
        <v>1000</v>
      </c>
      <c r="H12" s="48">
        <f>=F12+G12</f>
        <v>2411</v>
      </c>
      <c r="I12" s="48">
        <v>54000</v>
      </c>
      <c r="J12" s="48">
        <v>800</v>
      </c>
      <c r="K12" s="48">
        <v>1</v>
      </c>
      <c r="L12" s="48">
        <v>1</v>
      </c>
      <c r="M12" s="48" t="s"/>
      <c r="P12" s="48">
        <f>=SUM(P10:P11)</f>
        <v>52700</v>
      </c>
      <c r="Q12" s="48">
        <f>=P12/0.6</f>
        <v>87833.3333333334</v>
      </c>
      <c r="V12" s="48" t="s"/>
      <c r="W12" s="48" t="s"/>
      <c r="X12" s="48" t="s"/>
      <c r="Y12" s="48" t="s"/>
      <c r="Z12" s="48" t="s"/>
      <c r="AA12" s="48" t="s"/>
      <c r="AB12" s="48" t="s"/>
      <c r="AC12" s="48" t="s"/>
      <c r="AD12" s="48" t="s"/>
      <c r="AE12" s="48" t="s"/>
    </row>
    <row r="13" spans="1:31" ht="21" hidden="1" customHeight="1">
      <c r="A13" s="48" t="s"/>
      <c r="B13" s="48" t="s">
        <v>29</v>
      </c>
      <c r="C13" s="48" t="s">
        <v>70</v>
      </c>
      <c r="D13" s="51" t="s">
        <v>73</v>
      </c>
      <c r="E13" s="50" t="s">
        <v>62</v>
      </c>
      <c r="F13" s="48" t="s">
        <v>55</v>
      </c>
      <c r="G13" s="51" t="s">
        <v>55</v>
      </c>
      <c r="H13" s="48" t="s">
        <v>55</v>
      </c>
      <c r="I13" s="48">
        <v>90000</v>
      </c>
      <c r="J13" s="48">
        <v>0</v>
      </c>
      <c r="K13" s="48" t="s"/>
      <c r="L13" s="48" t="s"/>
      <c r="M13" s="48" t="s"/>
      <c r="Q13" s="59" t="s">
        <v>3</v>
      </c>
      <c r="R13" s="60" t="s">
        <v>74</v>
      </c>
      <c r="S13" s="60" t="s">
        <v>75</v>
      </c>
      <c r="V13" s="48" t="s"/>
      <c r="W13" s="48" t="s"/>
      <c r="X13" s="48" t="s"/>
      <c r="Y13" s="48" t="s"/>
      <c r="Z13" s="48" t="s"/>
      <c r="AA13" s="48" t="s"/>
      <c r="AB13" s="48" t="s"/>
      <c r="AC13" s="48" t="s"/>
      <c r="AD13" s="48" t="s"/>
      <c r="AE13" s="48" t="s"/>
    </row>
    <row r="14" spans="1:31" ht="21" customHeight="1">
      <c r="A14" s="48" t="s"/>
      <c r="B14" s="48" t="s">
        <v>34</v>
      </c>
      <c r="C14" s="48" t="s">
        <v>64</v>
      </c>
      <c r="D14" s="51" t="s">
        <v>113</v>
      </c>
      <c r="E14" s="50" t="s">
        <v>62</v>
      </c>
      <c r="F14" s="48">
        <v>1765</v>
      </c>
      <c r="G14" s="51">
        <v>1000</v>
      </c>
      <c r="H14" s="48">
        <f>=F14+G14</f>
        <v>2765</v>
      </c>
      <c r="I14" s="48">
        <v>64000</v>
      </c>
      <c r="J14" s="48">
        <v>500</v>
      </c>
      <c r="K14" s="48">
        <v>1</v>
      </c>
      <c r="L14" s="48">
        <v>1</v>
      </c>
      <c r="M14" s="48" t="s"/>
      <c r="Q14" s="52" t="s">
        <v>29</v>
      </c>
      <c r="R14" s="61">
        <v>18000</v>
      </c>
      <c r="S14" s="62">
        <v>120000</v>
      </c>
      <c r="V14" s="48" t="s"/>
      <c r="W14" s="48" t="s"/>
      <c r="X14" s="48" t="s"/>
      <c r="Y14" s="48" t="s"/>
      <c r="Z14" s="48" t="s"/>
      <c r="AA14" s="48" t="s"/>
      <c r="AB14" s="48" t="s"/>
      <c r="AC14" s="48" t="s"/>
      <c r="AD14" s="48" t="s"/>
      <c r="AE14" s="48" t="s"/>
    </row>
    <row r="15" spans="1:31" ht="21" customHeight="1">
      <c r="A15" s="48" t="s"/>
      <c r="B15" s="51" t="s">
        <v>34</v>
      </c>
      <c r="C15" s="63" t="s">
        <v>76</v>
      </c>
      <c r="D15" s="51" t="s">
        <v>114</v>
      </c>
      <c r="E15" s="50" t="s">
        <v>62</v>
      </c>
      <c r="F15" s="48">
        <v>2035</v>
      </c>
      <c r="G15" s="51">
        <v>500</v>
      </c>
      <c r="H15" s="48">
        <f>=F15+G15</f>
        <v>2535</v>
      </c>
      <c r="I15" s="48">
        <v>30000</v>
      </c>
      <c r="J15" s="48">
        <v>1000</v>
      </c>
      <c r="K15" s="48">
        <v>1</v>
      </c>
      <c r="L15" s="48">
        <v>1</v>
      </c>
      <c r="N15" s="48" t="s"/>
      <c r="O15" s="48" t="s"/>
      <c r="P15" s="48" t="s"/>
      <c r="Q15" s="52" t="s">
        <v>33</v>
      </c>
      <c r="R15" s="61">
        <v>18000</v>
      </c>
      <c r="S15" s="62">
        <v>120000</v>
      </c>
      <c r="U15" s="48" t="s"/>
      <c r="V15" s="48" t="s"/>
      <c r="W15" s="48" t="s"/>
      <c r="X15" s="48" t="s"/>
      <c r="Y15" s="48" t="s"/>
      <c r="Z15" s="48" t="s"/>
      <c r="AA15" s="48" t="s"/>
      <c r="AB15" s="48" t="s"/>
      <c r="AC15" s="48" t="s"/>
      <c r="AD15" s="48" t="s"/>
      <c r="AE15" s="48" t="s"/>
    </row>
    <row r="16" spans="1:31" ht="21" customHeight="1">
      <c r="A16" s="48" t="s"/>
      <c r="B16" s="51" t="s">
        <v>33</v>
      </c>
      <c r="C16" s="63" t="s">
        <v>76</v>
      </c>
      <c r="D16" s="51" t="s">
        <v>115</v>
      </c>
      <c r="E16" s="50" t="s">
        <v>62</v>
      </c>
      <c r="F16" s="51">
        <v>1670</v>
      </c>
      <c r="G16" s="51">
        <v>500</v>
      </c>
      <c r="H16" s="48">
        <f>=F16+G16</f>
        <v>2170</v>
      </c>
      <c r="I16" s="48">
        <v>9000</v>
      </c>
      <c r="J16" s="48">
        <v>800</v>
      </c>
      <c r="K16" s="48">
        <v>1</v>
      </c>
      <c r="L16" s="64">
        <v>1</v>
      </c>
      <c r="M16" s="48">
        <v>3100</v>
      </c>
      <c r="N16" s="48" t="s"/>
      <c r="O16" s="48" t="s"/>
      <c r="Q16" s="52" t="s">
        <v>31</v>
      </c>
      <c r="R16" s="61">
        <v>15000</v>
      </c>
      <c r="S16" s="62">
        <v>100000</v>
      </c>
      <c r="U16" s="48" t="s"/>
      <c r="V16" s="48" t="s"/>
      <c r="W16" s="48" t="s"/>
      <c r="X16" s="48" t="s"/>
      <c r="Y16" s="48" t="s"/>
      <c r="Z16" s="48" t="s"/>
      <c r="AA16" s="48" t="s"/>
      <c r="AB16" s="48" t="s"/>
      <c r="AC16" s="48" t="s"/>
      <c r="AD16" s="48" t="s"/>
      <c r="AE16" s="48" t="s"/>
    </row>
    <row r="17" spans="1:31" ht="21" customHeight="1">
      <c r="A17" s="48" t="s"/>
      <c r="B17" s="51" t="s">
        <v>33</v>
      </c>
      <c r="C17" s="51" t="s">
        <v>77</v>
      </c>
      <c r="D17" s="51" t="s">
        <v>116</v>
      </c>
      <c r="E17" s="50" t="s">
        <v>62</v>
      </c>
      <c r="F17" s="51">
        <v>1670</v>
      </c>
      <c r="G17" s="48">
        <v>0</v>
      </c>
      <c r="H17" s="48">
        <f>=F17+G17</f>
        <v>1670</v>
      </c>
      <c r="I17" s="48">
        <v>45000</v>
      </c>
      <c r="J17" s="48">
        <v>1500</v>
      </c>
      <c r="K17" s="48">
        <v>1</v>
      </c>
      <c r="L17" s="64">
        <v>1</v>
      </c>
      <c r="M17" s="48" t="s"/>
      <c r="N17" s="48" t="s"/>
      <c r="O17" s="48" t="s"/>
      <c r="Q17" s="52" t="s">
        <v>28</v>
      </c>
      <c r="R17" s="61">
        <v>20000</v>
      </c>
      <c r="S17" s="62">
        <v>150000</v>
      </c>
      <c r="U17" s="48" t="s"/>
      <c r="V17" s="48" t="s"/>
      <c r="W17" s="48" t="s"/>
      <c r="X17" s="48" t="s"/>
      <c r="Y17" s="48" t="s"/>
      <c r="Z17" s="48" t="s"/>
      <c r="AA17" s="48" t="s"/>
      <c r="AB17" s="48" t="s"/>
      <c r="AC17" s="48" t="s"/>
      <c r="AD17" s="48" t="s"/>
      <c r="AE17" s="48" t="s"/>
    </row>
    <row r="18" spans="1:31" ht="21" hidden="1" customHeight="1">
      <c r="A18" s="48" t="s"/>
      <c r="B18" s="65" t="s">
        <v>33</v>
      </c>
      <c r="C18" s="66" t="s">
        <v>59</v>
      </c>
      <c r="D18" s="65" t="s">
        <v>117</v>
      </c>
      <c r="E18" s="67" t="s">
        <v>54</v>
      </c>
      <c r="F18" s="65">
        <v>1110</v>
      </c>
      <c r="G18" s="68">
        <v>0</v>
      </c>
      <c r="H18" s="68">
        <f>=F18+G18</f>
        <v>1110</v>
      </c>
      <c r="I18" s="68">
        <v>2000</v>
      </c>
      <c r="J18" s="68" t="s">
        <v>55</v>
      </c>
      <c r="K18" s="68" t="s"/>
      <c r="L18" s="68" t="s"/>
      <c r="M18" s="68" t="s">
        <v>78</v>
      </c>
      <c r="N18" s="48" t="s"/>
      <c r="O18" s="48" t="s"/>
      <c r="Q18" s="52" t="s">
        <v>32</v>
      </c>
      <c r="R18" s="61">
        <v>20000</v>
      </c>
      <c r="S18" s="62">
        <v>150000</v>
      </c>
      <c r="U18" s="48" t="s"/>
      <c r="V18" s="48" t="s"/>
      <c r="W18" s="48" t="s"/>
      <c r="X18" s="48" t="s"/>
      <c r="Y18" s="48" t="s"/>
      <c r="Z18" s="48" t="s"/>
      <c r="AA18" s="48" t="s"/>
      <c r="AB18" s="48" t="s"/>
      <c r="AC18" s="48" t="s"/>
      <c r="AD18" s="48" t="s"/>
      <c r="AE18" s="48" t="s"/>
    </row>
    <row r="19" spans="1:31" ht="21" hidden="1" customHeight="1">
      <c r="A19" s="48" t="s"/>
      <c r="B19" s="65" t="s">
        <v>33</v>
      </c>
      <c r="C19" s="65" t="s">
        <v>57</v>
      </c>
      <c r="D19" s="65" t="s">
        <v>118</v>
      </c>
      <c r="E19" s="67" t="s">
        <v>54</v>
      </c>
      <c r="F19" s="65">
        <v>1110</v>
      </c>
      <c r="G19" s="68">
        <v>0</v>
      </c>
      <c r="H19" s="68">
        <f>=F19+G19</f>
        <v>1110</v>
      </c>
      <c r="I19" s="68">
        <v>21000</v>
      </c>
      <c r="J19" s="68" t="s">
        <v>55</v>
      </c>
      <c r="K19" s="68" t="s"/>
      <c r="L19" s="68" t="s"/>
      <c r="M19" s="68" t="s">
        <v>78</v>
      </c>
      <c r="N19" s="48" t="s"/>
      <c r="O19" s="48" t="s"/>
      <c r="Q19" s="52" t="s">
        <v>30</v>
      </c>
      <c r="R19" s="61">
        <v>20000</v>
      </c>
      <c r="S19" s="62">
        <v>150000</v>
      </c>
      <c r="U19" s="48" t="s"/>
      <c r="V19" s="48" t="s"/>
      <c r="W19" s="48" t="s"/>
      <c r="X19" s="48" t="s"/>
      <c r="Y19" s="48" t="s"/>
      <c r="Z19" s="48" t="s"/>
      <c r="AA19" s="48" t="s"/>
      <c r="AB19" s="48" t="s"/>
      <c r="AC19" s="48" t="s"/>
      <c r="AD19" s="48" t="s"/>
      <c r="AE19" s="48" t="s"/>
    </row>
    <row r="20" spans="1:31" ht="21" customHeight="1">
      <c r="A20" s="48" t="s"/>
      <c r="B20" s="51" t="s">
        <v>33</v>
      </c>
      <c r="C20" s="51" t="s">
        <v>79</v>
      </c>
      <c r="D20" s="69" t="s">
        <v>119</v>
      </c>
      <c r="E20" s="50" t="s">
        <v>62</v>
      </c>
      <c r="F20" s="51">
        <v>0</v>
      </c>
      <c r="G20" s="48">
        <v>1000</v>
      </c>
      <c r="H20" s="48">
        <v>1000</v>
      </c>
      <c r="I20" s="48">
        <v>55000</v>
      </c>
      <c r="J20" s="48">
        <v>800</v>
      </c>
      <c r="K20" s="48">
        <v>1</v>
      </c>
      <c r="L20" s="64">
        <v>1</v>
      </c>
      <c r="M20" s="48" t="s"/>
      <c r="N20" s="48" t="s"/>
      <c r="O20" s="48" t="s"/>
      <c r="Q20" s="52" t="s">
        <v>34</v>
      </c>
      <c r="R20" s="61">
        <v>15000</v>
      </c>
      <c r="S20" s="62">
        <v>100000</v>
      </c>
      <c r="U20" s="48" t="s"/>
      <c r="V20" s="48" t="s"/>
      <c r="W20" s="48" t="s"/>
      <c r="X20" s="48" t="s"/>
      <c r="Y20" s="48" t="s"/>
      <c r="Z20" s="48" t="s"/>
      <c r="AA20" s="48" t="s"/>
      <c r="AB20" s="48" t="s"/>
      <c r="AC20" s="48" t="s"/>
      <c r="AD20" s="48" t="s"/>
      <c r="AE20" s="48" t="s"/>
    </row>
    <row r="21" spans="1:31" ht="21" hidden="1" customHeight="1">
      <c r="A21" s="48" t="s"/>
      <c r="B21" s="51" t="s">
        <v>33</v>
      </c>
      <c r="C21" s="51" t="s">
        <v>80</v>
      </c>
      <c r="D21" s="51" t="s">
        <v>73</v>
      </c>
      <c r="E21" s="50" t="s">
        <v>54</v>
      </c>
      <c r="F21" s="48" t="s">
        <v>55</v>
      </c>
      <c r="G21" s="51" t="s">
        <v>55</v>
      </c>
      <c r="H21" s="48" t="s">
        <v>55</v>
      </c>
      <c r="I21" s="48" t="s">
        <v>55</v>
      </c>
      <c r="J21" s="48" t="s">
        <v>55</v>
      </c>
      <c r="K21" s="48" t="s"/>
      <c r="L21" s="48" t="s"/>
      <c r="M21" s="48" t="s"/>
      <c r="N21" s="48" t="s"/>
      <c r="O21" s="48" t="s"/>
      <c r="T21" s="48" t="s"/>
      <c r="U21" s="48" t="s"/>
      <c r="V21" s="48" t="s"/>
      <c r="W21" s="48" t="s"/>
      <c r="X21" s="48" t="s"/>
      <c r="Y21" s="48" t="s"/>
      <c r="Z21" s="48" t="s"/>
      <c r="AA21" s="48" t="s"/>
      <c r="AB21" s="48" t="s"/>
      <c r="AC21" s="48" t="s"/>
      <c r="AD21" s="48" t="s"/>
      <c r="AE21" s="48" t="s"/>
    </row>
    <row r="22" spans="1:31" ht="21" hidden="1" customHeight="1">
      <c r="A22" s="48" t="s"/>
      <c r="B22" s="63" t="s">
        <v>31</v>
      </c>
      <c r="C22" s="63" t="s">
        <v>57</v>
      </c>
      <c r="D22" s="48" t="s">
        <v>120</v>
      </c>
      <c r="E22" s="50" t="s">
        <v>54</v>
      </c>
      <c r="F22" s="48">
        <v>1230</v>
      </c>
      <c r="G22" s="48">
        <v>0</v>
      </c>
      <c r="H22" s="48">
        <f>=F22+G22</f>
        <v>1230</v>
      </c>
      <c r="I22" s="48">
        <v>5000</v>
      </c>
      <c r="J22" s="48" t="s">
        <v>55</v>
      </c>
      <c r="K22" s="48" t="s"/>
      <c r="L22" s="48" t="s"/>
      <c r="M22" s="48" t="s"/>
      <c r="N22" s="48" t="s"/>
      <c r="O22" s="48" t="s"/>
      <c r="P22" s="48" t="s"/>
      <c r="Q22" s="48" t="s"/>
      <c r="T22" s="48" t="s"/>
      <c r="U22" s="48" t="s"/>
      <c r="V22" s="48" t="s"/>
      <c r="W22" s="48" t="s"/>
      <c r="X22" s="48" t="s"/>
      <c r="Y22" s="48" t="s"/>
      <c r="Z22" s="48" t="s"/>
      <c r="AA22" s="48" t="s"/>
      <c r="AB22" s="48" t="s"/>
      <c r="AC22" s="48" t="s"/>
      <c r="AD22" s="48" t="s"/>
      <c r="AE22" s="48" t="s"/>
    </row>
    <row r="23" spans="1:31" ht="21" customHeight="1">
      <c r="A23" s="48" t="s"/>
      <c r="B23" s="63" t="s">
        <v>31</v>
      </c>
      <c r="C23" s="63" t="s">
        <v>81</v>
      </c>
      <c r="D23" s="48" t="s">
        <v>121</v>
      </c>
      <c r="E23" s="50" t="s">
        <v>62</v>
      </c>
      <c r="F23" s="48">
        <v>1269</v>
      </c>
      <c r="G23" s="48">
        <v>0</v>
      </c>
      <c r="H23" s="48">
        <f>=F23+G23</f>
        <v>1269</v>
      </c>
      <c r="I23" s="48">
        <v>5000</v>
      </c>
      <c r="J23" s="48">
        <v>1000</v>
      </c>
      <c r="K23" s="48">
        <v>1</v>
      </c>
      <c r="L23" s="64">
        <v>1</v>
      </c>
      <c r="M23" s="48">
        <v>2000</v>
      </c>
      <c r="N23" s="48" t="s"/>
      <c r="O23" s="48" t="s"/>
      <c r="P23" s="48" t="s"/>
      <c r="Q23" s="48" t="s"/>
      <c r="T23" s="48" t="s"/>
      <c r="U23" s="48" t="s"/>
      <c r="V23" s="48" t="s"/>
      <c r="W23" s="48" t="s"/>
      <c r="X23" s="48" t="s"/>
      <c r="Y23" s="48" t="s"/>
      <c r="Z23" s="48" t="s"/>
      <c r="AA23" s="48" t="s"/>
      <c r="AB23" s="48" t="s"/>
      <c r="AC23" s="48" t="s"/>
      <c r="AD23" s="48" t="s"/>
      <c r="AE23" s="48" t="s"/>
    </row>
    <row r="24" spans="1:31" ht="21" customHeight="1">
      <c r="A24" s="48" t="s"/>
      <c r="B24" s="63" t="s">
        <v>31</v>
      </c>
      <c r="C24" s="63" t="s">
        <v>82</v>
      </c>
      <c r="D24" s="48" t="s">
        <v>122</v>
      </c>
      <c r="E24" s="50" t="s">
        <v>62</v>
      </c>
      <c r="F24" s="48">
        <v>1506</v>
      </c>
      <c r="G24" s="48">
        <v>0</v>
      </c>
      <c r="H24" s="48">
        <f>=F24+G24</f>
        <v>1506</v>
      </c>
      <c r="I24" s="48">
        <v>5000</v>
      </c>
      <c r="J24" s="48">
        <v>1000</v>
      </c>
      <c r="K24" s="48">
        <v>1</v>
      </c>
      <c r="L24" s="64">
        <v>1</v>
      </c>
      <c r="M24" s="48" t="s"/>
      <c r="N24" s="48" t="s"/>
      <c r="O24" s="48" t="s"/>
      <c r="P24" s="48" t="s"/>
      <c r="Q24" s="48" t="s"/>
      <c r="T24" s="48" t="s"/>
      <c r="U24" s="48" t="s"/>
      <c r="V24" s="48" t="s"/>
      <c r="W24" s="48" t="s"/>
      <c r="X24" s="48" t="s"/>
      <c r="Y24" s="48" t="s"/>
      <c r="Z24" s="48" t="s"/>
      <c r="AA24" s="48" t="s"/>
      <c r="AB24" s="48" t="s"/>
      <c r="AC24" s="48" t="s"/>
      <c r="AD24" s="48" t="s"/>
      <c r="AE24" s="48" t="s"/>
    </row>
    <row r="25" spans="1:31" ht="21" hidden="1" customHeight="1">
      <c r="A25" s="48" t="s"/>
      <c r="B25" s="66" t="s">
        <v>31</v>
      </c>
      <c r="C25" s="66" t="s">
        <v>59</v>
      </c>
      <c r="D25" s="68" t="s">
        <v>123</v>
      </c>
      <c r="E25" s="67" t="s">
        <v>54</v>
      </c>
      <c r="F25" s="65">
        <v>1180</v>
      </c>
      <c r="G25" s="68">
        <v>0</v>
      </c>
      <c r="H25" s="68">
        <f>=F25+G25</f>
        <v>1180</v>
      </c>
      <c r="I25" s="68">
        <v>2000</v>
      </c>
      <c r="J25" s="68">
        <v>0</v>
      </c>
      <c r="K25" s="68" t="s"/>
      <c r="L25" s="68" t="s"/>
      <c r="M25" s="68" t="s">
        <v>78</v>
      </c>
      <c r="N25" s="48" t="s"/>
      <c r="O25" s="48" t="s"/>
      <c r="P25" s="48" t="s"/>
      <c r="Q25" s="48" t="s"/>
      <c r="T25" s="48" t="s"/>
      <c r="U25" s="48" t="s"/>
      <c r="V25" s="48" t="s"/>
      <c r="W25" s="48" t="s"/>
      <c r="X25" s="48" t="s"/>
      <c r="Y25" s="48" t="s"/>
      <c r="Z25" s="48" t="s"/>
      <c r="AA25" s="48" t="s"/>
      <c r="AB25" s="48" t="s"/>
      <c r="AC25" s="48" t="s"/>
      <c r="AD25" s="48" t="s"/>
      <c r="AE25" s="48" t="s"/>
    </row>
    <row r="26" spans="1:31" ht="21" hidden="1" customHeight="1">
      <c r="A26" s="48" t="s"/>
      <c r="B26" s="63" t="s">
        <v>31</v>
      </c>
      <c r="C26" s="63" t="s">
        <v>83</v>
      </c>
      <c r="D26" s="70" t="s">
        <v>124</v>
      </c>
      <c r="E26" s="50" t="s">
        <v>62</v>
      </c>
      <c r="F26" s="51">
        <v>876</v>
      </c>
      <c r="G26" s="48">
        <v>1000</v>
      </c>
      <c r="H26" s="48">
        <f>=F26+G26</f>
        <v>1876</v>
      </c>
      <c r="I26" s="48">
        <v>60000</v>
      </c>
      <c r="J26" s="48">
        <v>0</v>
      </c>
      <c r="K26" s="48" t="s"/>
      <c r="L26" s="48" t="s"/>
      <c r="M26" s="48" t="s"/>
      <c r="N26" s="48" t="s"/>
      <c r="O26" s="48" t="s"/>
      <c r="P26" s="48" t="s"/>
      <c r="Q26" s="48" t="s"/>
      <c r="R26" s="48" t="s"/>
      <c r="S26" s="48" t="s"/>
      <c r="T26" s="48" t="s"/>
      <c r="U26" s="48" t="s"/>
      <c r="V26" s="48" t="s"/>
      <c r="W26" s="48" t="s"/>
      <c r="X26" s="48" t="s"/>
      <c r="Y26" s="48" t="s"/>
      <c r="Z26" s="48" t="s"/>
      <c r="AA26" s="48" t="s"/>
      <c r="AB26" s="48" t="s"/>
      <c r="AC26" s="48" t="s"/>
      <c r="AD26" s="48" t="s"/>
      <c r="AE26" s="48" t="s"/>
    </row>
    <row r="27" spans="1:31" ht="21" hidden="1" customHeight="1">
      <c r="A27" s="48" t="s"/>
      <c r="B27" s="66" t="s">
        <v>30</v>
      </c>
      <c r="C27" s="66" t="s">
        <v>57</v>
      </c>
      <c r="D27" s="71" t="s">
        <v>125</v>
      </c>
      <c r="E27" s="67" t="s">
        <v>54</v>
      </c>
      <c r="F27" s="65">
        <v>2298</v>
      </c>
      <c r="G27" s="68" t="s">
        <v>55</v>
      </c>
      <c r="H27" s="68">
        <f>=SUM(F27:G27)</f>
        <v>2298</v>
      </c>
      <c r="I27" s="68">
        <v>24000</v>
      </c>
      <c r="J27" s="68" t="s">
        <v>55</v>
      </c>
      <c r="K27" s="68" t="s"/>
      <c r="L27" s="68" t="s"/>
      <c r="M27" s="68" t="s">
        <v>78</v>
      </c>
      <c r="N27" s="48" t="s"/>
      <c r="O27" s="48" t="s"/>
      <c r="P27" s="48" t="s"/>
      <c r="Q27" s="48" t="s"/>
      <c r="R27" s="48" t="s"/>
      <c r="S27" s="48" t="s"/>
      <c r="T27" s="48" t="s"/>
      <c r="U27" s="48" t="s"/>
      <c r="V27" s="48" t="s"/>
      <c r="W27" s="48" t="s"/>
      <c r="X27" s="48" t="s"/>
      <c r="Y27" s="48" t="s"/>
      <c r="Z27" s="48" t="s"/>
      <c r="AA27" s="48" t="s"/>
      <c r="AB27" s="48" t="s"/>
      <c r="AC27" s="48" t="s"/>
      <c r="AD27" s="48" t="s"/>
      <c r="AE27" s="48" t="s"/>
    </row>
    <row r="28" spans="1:31" ht="21" customHeight="1">
      <c r="A28" s="48" t="s"/>
      <c r="B28" s="72" t="s">
        <v>30</v>
      </c>
      <c r="C28" s="63" t="s">
        <v>84</v>
      </c>
      <c r="D28" s="70" t="s">
        <v>126</v>
      </c>
      <c r="E28" s="73" t="s">
        <v>62</v>
      </c>
      <c r="F28" s="51">
        <v>2194</v>
      </c>
      <c r="G28" s="48">
        <v>1000</v>
      </c>
      <c r="H28" s="48">
        <f>=SUM(F28:G28)</f>
        <v>3194</v>
      </c>
      <c r="I28" s="48">
        <v>4000</v>
      </c>
      <c r="J28" s="48">
        <v>1000</v>
      </c>
      <c r="K28" s="64">
        <v>1</v>
      </c>
      <c r="L28" s="64">
        <v>1</v>
      </c>
      <c r="M28" s="48" t="s"/>
      <c r="N28" s="48" t="s"/>
      <c r="O28" s="48" t="s"/>
      <c r="P28" s="48" t="s"/>
      <c r="Q28" s="48" t="s"/>
      <c r="R28" s="48" t="s"/>
      <c r="S28" s="48" t="s"/>
      <c r="T28" s="48" t="s"/>
      <c r="U28" s="48" t="s"/>
      <c r="V28" s="48" t="s"/>
      <c r="W28" s="48" t="s"/>
      <c r="X28" s="48" t="s"/>
      <c r="Y28" s="48" t="s"/>
      <c r="Z28" s="48" t="s"/>
      <c r="AA28" s="48" t="s"/>
      <c r="AB28" s="48" t="s"/>
      <c r="AC28" s="48" t="s"/>
      <c r="AD28" s="48" t="s"/>
      <c r="AE28" s="48" t="s"/>
    </row>
    <row r="29" spans="1:31" ht="21" hidden="1" customHeight="1">
      <c r="A29" s="48" t="s"/>
      <c r="B29" s="63" t="s">
        <v>30</v>
      </c>
      <c r="C29" s="63" t="s">
        <v>53</v>
      </c>
      <c r="D29" s="70" t="s">
        <v>127</v>
      </c>
      <c r="E29" s="73" t="s">
        <v>54</v>
      </c>
      <c r="F29" s="51">
        <v>796</v>
      </c>
      <c r="G29" s="48" t="s">
        <v>55</v>
      </c>
      <c r="H29" s="48">
        <f>=SUM(F29:G29)</f>
        <v>796</v>
      </c>
      <c r="I29" s="48">
        <v>255000</v>
      </c>
      <c r="J29" s="48" t="s">
        <v>55</v>
      </c>
      <c r="K29" s="48" t="s"/>
      <c r="L29" s="48" t="s"/>
      <c r="M29" s="48" t="s"/>
      <c r="N29" s="48" t="s"/>
      <c r="O29" s="48" t="s"/>
      <c r="P29" s="48" t="s"/>
      <c r="Q29" s="48" t="s"/>
      <c r="R29" s="48" t="s"/>
      <c r="S29" s="48" t="s"/>
      <c r="T29" s="48" t="s"/>
      <c r="U29" s="48" t="s"/>
      <c r="V29" s="48" t="s"/>
      <c r="W29" s="48" t="s"/>
      <c r="X29" s="48" t="s"/>
      <c r="Y29" s="48" t="s"/>
      <c r="Z29" s="48" t="s"/>
      <c r="AA29" s="48" t="s"/>
      <c r="AB29" s="48" t="s"/>
      <c r="AC29" s="48" t="s"/>
      <c r="AD29" s="48" t="s"/>
      <c r="AE29" s="48" t="s"/>
    </row>
    <row r="30" spans="1:31" ht="21" hidden="1" customHeight="1">
      <c r="A30" s="48" t="s"/>
      <c r="B30" s="63" t="s">
        <v>30</v>
      </c>
      <c r="C30" s="63" t="s">
        <v>85</v>
      </c>
      <c r="D30" s="70" t="s">
        <v>128</v>
      </c>
      <c r="E30" s="73" t="s">
        <v>54</v>
      </c>
      <c r="F30" s="51">
        <v>1236</v>
      </c>
      <c r="G30" s="48" t="s">
        <v>55</v>
      </c>
      <c r="H30" s="48">
        <f>=SUM(F30:G30)</f>
        <v>1236</v>
      </c>
      <c r="I30" s="48">
        <v>352000</v>
      </c>
      <c r="J30" s="48" t="s">
        <v>55</v>
      </c>
      <c r="K30" s="48" t="s"/>
      <c r="L30" s="48" t="s"/>
      <c r="M30" s="48" t="s"/>
      <c r="N30" s="48" t="s"/>
      <c r="O30" s="48" t="s"/>
      <c r="P30" s="48" t="s"/>
      <c r="Q30" s="48" t="s"/>
      <c r="R30" s="48" t="s"/>
      <c r="S30" s="48" t="s"/>
      <c r="T30" s="48" t="s"/>
      <c r="U30" s="48" t="s"/>
      <c r="V30" s="48" t="s"/>
      <c r="W30" s="48" t="s"/>
      <c r="X30" s="48" t="s"/>
      <c r="Y30" s="48" t="s"/>
      <c r="Z30" s="48" t="s"/>
      <c r="AA30" s="48" t="s"/>
      <c r="AB30" s="48" t="s"/>
      <c r="AC30" s="48" t="s"/>
      <c r="AD30" s="48" t="s"/>
      <c r="AE30" s="48" t="s"/>
    </row>
    <row r="31" spans="1:31" ht="21" hidden="1" customHeight="1">
      <c r="A31" s="48" t="s"/>
      <c r="B31" s="63" t="s">
        <v>30</v>
      </c>
      <c r="C31" s="63" t="s">
        <v>86</v>
      </c>
      <c r="D31" s="70" t="s">
        <v>129</v>
      </c>
      <c r="E31" s="73" t="s">
        <v>54</v>
      </c>
      <c r="F31" s="51">
        <v>2082</v>
      </c>
      <c r="G31" s="48">
        <v>1000</v>
      </c>
      <c r="H31" s="48">
        <f>=SUM(F31:G31)</f>
        <v>3082</v>
      </c>
      <c r="I31" s="48">
        <v>62000</v>
      </c>
      <c r="J31" s="48" t="s">
        <v>55</v>
      </c>
      <c r="K31" s="48" t="s"/>
      <c r="L31" s="48" t="s"/>
      <c r="M31" s="48" t="s"/>
      <c r="N31" s="48" t="s"/>
      <c r="O31" s="48" t="s"/>
      <c r="P31" s="48" t="s"/>
      <c r="Q31" s="48" t="s"/>
      <c r="R31" s="48" t="s"/>
      <c r="S31" s="48" t="s"/>
      <c r="T31" s="48" t="s"/>
      <c r="U31" s="48" t="s"/>
      <c r="V31" s="48" t="s"/>
      <c r="W31" s="48" t="s"/>
      <c r="X31" s="48" t="s"/>
      <c r="Y31" s="48" t="s"/>
      <c r="Z31" s="48" t="s"/>
      <c r="AA31" s="48" t="s"/>
      <c r="AB31" s="48" t="s"/>
      <c r="AC31" s="48" t="s"/>
      <c r="AD31" s="48" t="s"/>
      <c r="AE31" s="48" t="s"/>
    </row>
    <row r="32" spans="1:31" ht="21" hidden="1" customHeight="1">
      <c r="A32" s="48" t="s"/>
      <c r="B32" s="63" t="s">
        <v>30</v>
      </c>
      <c r="C32" s="63" t="s">
        <v>87</v>
      </c>
      <c r="D32" s="70" t="s">
        <v>130</v>
      </c>
      <c r="E32" s="73" t="s">
        <v>62</v>
      </c>
      <c r="F32" s="51">
        <v>3274</v>
      </c>
      <c r="G32" s="48">
        <v>1000</v>
      </c>
      <c r="H32" s="48">
        <f>=SUM(F32:G32)</f>
        <v>4274</v>
      </c>
      <c r="I32" s="48">
        <v>64000</v>
      </c>
      <c r="J32" s="48" t="s">
        <v>55</v>
      </c>
      <c r="K32" s="48" t="s"/>
      <c r="L32" s="48" t="s"/>
      <c r="M32" s="48" t="s"/>
      <c r="N32" s="48" t="s"/>
      <c r="O32" s="48" t="s"/>
      <c r="P32" s="48" t="s"/>
      <c r="Q32" s="48" t="s"/>
      <c r="R32" s="48" t="s"/>
      <c r="S32" s="48" t="s"/>
      <c r="T32" s="48" t="s"/>
      <c r="U32" s="48" t="s"/>
      <c r="V32" s="48" t="s"/>
      <c r="W32" s="48" t="s"/>
      <c r="X32" s="48" t="s"/>
      <c r="Y32" s="48" t="s"/>
      <c r="Z32" s="48" t="s"/>
      <c r="AA32" s="48" t="s"/>
      <c r="AB32" s="48" t="s"/>
      <c r="AC32" s="48" t="s"/>
      <c r="AD32" s="48" t="s"/>
      <c r="AE32" s="48" t="s"/>
    </row>
    <row r="33" spans="1:31" ht="21" hidden="1" customHeight="1">
      <c r="A33" s="48" t="s"/>
      <c r="B33" s="63" t="s">
        <v>30</v>
      </c>
      <c r="C33" s="63" t="s">
        <v>88</v>
      </c>
      <c r="D33" s="70" t="s">
        <v>131</v>
      </c>
      <c r="E33" s="73" t="s">
        <v>62</v>
      </c>
      <c r="F33" s="51">
        <v>1595</v>
      </c>
      <c r="G33" s="48">
        <v>2500</v>
      </c>
      <c r="H33" s="48">
        <f>=SUM(F33:G33)</f>
        <v>4095</v>
      </c>
      <c r="I33" s="48">
        <v>127000</v>
      </c>
      <c r="J33" s="48" t="s">
        <v>55</v>
      </c>
      <c r="K33" s="48" t="s"/>
      <c r="L33" s="48" t="s"/>
      <c r="M33" s="48" t="s"/>
      <c r="N33" s="48" t="s"/>
      <c r="O33" s="48" t="s"/>
      <c r="P33" s="48" t="s"/>
      <c r="Q33" s="48" t="s"/>
      <c r="R33" s="48" t="s"/>
      <c r="S33" s="48" t="s"/>
      <c r="T33" s="48" t="s"/>
      <c r="U33" s="48" t="s"/>
      <c r="V33" s="48" t="s"/>
      <c r="W33" s="48" t="s"/>
      <c r="X33" s="48" t="s"/>
      <c r="Y33" s="48" t="s"/>
      <c r="Z33" s="48" t="s"/>
      <c r="AA33" s="48" t="s"/>
      <c r="AB33" s="48" t="s"/>
      <c r="AC33" s="48" t="s"/>
      <c r="AD33" s="48" t="s"/>
      <c r="AE33" s="48" t="s"/>
    </row>
    <row r="34" spans="1:31" ht="21" customHeight="1">
      <c r="A34" s="48" t="s"/>
      <c r="B34" s="64" t="s">
        <v>28</v>
      </c>
      <c r="C34" s="74" t="s">
        <v>66</v>
      </c>
      <c r="D34" s="70" t="s">
        <v>132</v>
      </c>
      <c r="E34" s="50" t="s">
        <v>62</v>
      </c>
      <c r="F34" s="51">
        <v>1140</v>
      </c>
      <c r="G34" s="48">
        <v>1000</v>
      </c>
      <c r="H34" s="51">
        <v>2140</v>
      </c>
      <c r="I34" s="48" t="s">
        <v>89</v>
      </c>
      <c r="J34" s="48">
        <v>1500</v>
      </c>
      <c r="K34" s="64">
        <v>1</v>
      </c>
      <c r="L34" s="64">
        <v>1</v>
      </c>
      <c r="M34" s="48">
        <v>3000</v>
      </c>
      <c r="N34" s="48" t="s"/>
      <c r="O34" s="48" t="s"/>
      <c r="P34" s="48" t="s"/>
      <c r="Q34" s="48" t="s"/>
      <c r="R34" s="48" t="s"/>
      <c r="S34" s="48" t="s"/>
      <c r="T34" s="48" t="s"/>
      <c r="U34" s="48" t="s"/>
      <c r="V34" s="48" t="s"/>
      <c r="W34" s="48" t="s"/>
      <c r="X34" s="48" t="s"/>
      <c r="Y34" s="48" t="s"/>
      <c r="Z34" s="48" t="s"/>
      <c r="AA34" s="48" t="s"/>
      <c r="AB34" s="48" t="s"/>
      <c r="AC34" s="48" t="s"/>
      <c r="AD34" s="48" t="s"/>
      <c r="AE34" s="48" t="s"/>
    </row>
    <row r="35" spans="1:31" ht="21" hidden="1" customHeight="1">
      <c r="A35" s="48" t="s"/>
      <c r="B35" s="48" t="s">
        <v>28</v>
      </c>
      <c r="C35" s="63" t="s">
        <v>83</v>
      </c>
      <c r="D35" s="70" t="s">
        <v>133</v>
      </c>
      <c r="E35" s="50" t="s">
        <v>62</v>
      </c>
      <c r="F35" s="51">
        <v>2608</v>
      </c>
      <c r="G35" s="48">
        <v>1000</v>
      </c>
      <c r="H35" s="51">
        <v>3608</v>
      </c>
      <c r="I35" s="48" t="s">
        <v>90</v>
      </c>
      <c r="J35" s="48">
        <v>0</v>
      </c>
      <c r="K35" s="48" t="s"/>
      <c r="L35" s="48" t="s"/>
      <c r="M35" s="48" t="s"/>
      <c r="N35" s="48" t="s"/>
      <c r="O35" s="48" t="s"/>
      <c r="P35" s="48" t="s"/>
      <c r="Q35" s="48" t="s"/>
      <c r="R35" s="48" t="s"/>
      <c r="S35" s="48" t="s"/>
      <c r="T35" s="48" t="s"/>
      <c r="U35" s="48" t="s"/>
      <c r="V35" s="48" t="s"/>
      <c r="W35" s="48" t="s"/>
      <c r="X35" s="48" t="s"/>
      <c r="Y35" s="48" t="s"/>
      <c r="Z35" s="48" t="s"/>
      <c r="AA35" s="48" t="s"/>
      <c r="AB35" s="48" t="s"/>
      <c r="AC35" s="48" t="s"/>
      <c r="AD35" s="48" t="s"/>
      <c r="AE35" s="48" t="s"/>
    </row>
    <row r="36" spans="1:31" ht="21" customHeight="1">
      <c r="A36" s="48" t="s"/>
      <c r="B36" s="64" t="s">
        <v>28</v>
      </c>
      <c r="C36" s="63" t="s">
        <v>87</v>
      </c>
      <c r="D36" s="70" t="s">
        <v>134</v>
      </c>
      <c r="E36" s="50" t="s">
        <v>62</v>
      </c>
      <c r="F36" s="51">
        <v>3121</v>
      </c>
      <c r="G36" s="48">
        <v>1000</v>
      </c>
      <c r="H36" s="51">
        <v>4121</v>
      </c>
      <c r="I36" s="48" t="s">
        <v>91</v>
      </c>
      <c r="J36" s="48">
        <v>1500</v>
      </c>
      <c r="K36" s="64">
        <v>1</v>
      </c>
      <c r="L36" s="64">
        <v>1</v>
      </c>
      <c r="M36" s="48" t="s"/>
      <c r="N36" s="48" t="s"/>
      <c r="O36" s="48" t="s"/>
      <c r="P36" s="48" t="s"/>
      <c r="Q36" s="48" t="s"/>
      <c r="R36" s="48" t="s"/>
      <c r="S36" s="48" t="s"/>
      <c r="T36" s="48" t="s"/>
      <c r="U36" s="48" t="s"/>
      <c r="V36" s="48" t="s"/>
      <c r="W36" s="48" t="s"/>
      <c r="X36" s="48" t="s"/>
      <c r="Y36" s="48" t="s"/>
      <c r="Z36" s="48" t="s"/>
      <c r="AA36" s="48" t="s"/>
      <c r="AB36" s="48" t="s"/>
      <c r="AC36" s="48" t="s"/>
      <c r="AD36" s="48" t="s"/>
      <c r="AE36" s="48" t="s"/>
    </row>
    <row r="37" spans="1:31" ht="21" hidden="1" customHeight="1">
      <c r="A37" s="48" t="s"/>
      <c r="B37" s="48" t="s">
        <v>28</v>
      </c>
      <c r="C37" s="51" t="s">
        <v>92</v>
      </c>
      <c r="D37" s="75" t="s">
        <v>135</v>
      </c>
      <c r="E37" s="50" t="s">
        <v>54</v>
      </c>
      <c r="F37" s="51">
        <v>2461</v>
      </c>
      <c r="G37" s="48">
        <v>1000</v>
      </c>
      <c r="H37" s="51">
        <v>3461</v>
      </c>
      <c r="I37" s="48" t="s">
        <v>93</v>
      </c>
      <c r="J37" s="48" t="s">
        <v>55</v>
      </c>
      <c r="K37" s="48" t="s"/>
      <c r="L37" s="48" t="s"/>
      <c r="M37" s="48" t="s"/>
      <c r="N37" s="48" t="s"/>
      <c r="O37" s="48" t="s"/>
      <c r="P37" s="48" t="s"/>
      <c r="Q37" s="48" t="s"/>
      <c r="R37" s="48" t="s"/>
      <c r="S37" s="48" t="s"/>
      <c r="T37" s="48" t="s"/>
      <c r="U37" s="48" t="s"/>
      <c r="V37" s="48" t="s"/>
      <c r="W37" s="48" t="s"/>
      <c r="X37" s="48" t="s"/>
      <c r="Y37" s="48" t="s"/>
      <c r="Z37" s="48" t="s"/>
      <c r="AA37" s="48" t="s"/>
      <c r="AB37" s="48" t="s"/>
      <c r="AC37" s="48" t="s"/>
      <c r="AD37" s="48" t="s"/>
      <c r="AE37" s="48" t="s"/>
    </row>
    <row r="38" spans="1:31" ht="21" hidden="1" customHeight="1">
      <c r="A38" s="48" t="s"/>
      <c r="B38" s="48" t="s">
        <v>32</v>
      </c>
      <c r="C38" s="48" t="s">
        <v>94</v>
      </c>
      <c r="D38" s="49" t="s">
        <v>136</v>
      </c>
      <c r="E38" s="50" t="s">
        <v>54</v>
      </c>
      <c r="F38" s="48">
        <v>2215</v>
      </c>
      <c r="G38" s="48" t="s">
        <v>55</v>
      </c>
      <c r="H38" s="48">
        <v>2215</v>
      </c>
      <c r="I38" s="48">
        <v>5000</v>
      </c>
      <c r="J38" s="48" t="s">
        <v>55</v>
      </c>
      <c r="K38" s="48" t="s"/>
      <c r="L38" s="48" t="s"/>
      <c r="M38" s="48" t="s">
        <v>78</v>
      </c>
      <c r="N38" s="48" t="s"/>
      <c r="O38" s="48" t="s"/>
      <c r="P38" s="48" t="s"/>
      <c r="Q38" s="48" t="s"/>
      <c r="R38" s="48" t="s"/>
      <c r="S38" s="48" t="s"/>
      <c r="T38" s="48" t="s"/>
      <c r="U38" s="48" t="s"/>
      <c r="V38" s="48" t="s"/>
      <c r="W38" s="48" t="s"/>
      <c r="X38" s="48" t="s"/>
      <c r="Y38" s="48" t="s"/>
      <c r="Z38" s="48" t="s"/>
      <c r="AA38" s="48" t="s"/>
      <c r="AB38" s="48" t="s"/>
      <c r="AC38" s="48" t="s"/>
      <c r="AD38" s="48" t="s"/>
      <c r="AE38" s="48" t="s"/>
    </row>
    <row r="39" spans="1:31" ht="21" customHeight="1">
      <c r="A39" s="48" t="s"/>
      <c r="B39" s="64" t="s">
        <v>32</v>
      </c>
      <c r="C39" s="48" t="s">
        <v>53</v>
      </c>
      <c r="D39" s="49" t="s">
        <v>137</v>
      </c>
      <c r="E39" s="50" t="s">
        <v>62</v>
      </c>
      <c r="F39" s="48">
        <v>2495</v>
      </c>
      <c r="G39" s="48" t="s">
        <v>55</v>
      </c>
      <c r="H39" s="48">
        <v>2495</v>
      </c>
      <c r="I39" s="48">
        <v>5000</v>
      </c>
      <c r="J39" s="76">
        <v>1000</v>
      </c>
      <c r="K39" s="64">
        <v>1</v>
      </c>
      <c r="L39" s="64">
        <v>1</v>
      </c>
      <c r="M39" s="48">
        <v>7000</v>
      </c>
      <c r="N39" s="48" t="s"/>
      <c r="O39" s="48" t="s"/>
      <c r="P39" s="48" t="s"/>
      <c r="Q39" s="48" t="s"/>
      <c r="R39" s="48" t="s"/>
      <c r="S39" s="48" t="s"/>
      <c r="T39" s="48" t="s"/>
      <c r="U39" s="48" t="s"/>
      <c r="V39" s="48" t="s"/>
      <c r="W39" s="48" t="s"/>
      <c r="X39" s="48" t="s"/>
      <c r="Y39" s="48" t="s"/>
      <c r="Z39" s="48" t="s"/>
      <c r="AA39" s="48" t="s"/>
      <c r="AB39" s="48" t="s"/>
      <c r="AC39" s="48" t="s"/>
      <c r="AD39" s="48" t="s"/>
      <c r="AE39" s="48" t="s"/>
    </row>
    <row r="40" spans="1:31" ht="21" customHeight="1">
      <c r="A40" s="48" t="s"/>
      <c r="B40" s="64" t="s">
        <v>32</v>
      </c>
      <c r="C40" s="48" t="s">
        <v>95</v>
      </c>
      <c r="D40" s="49" t="s">
        <v>138</v>
      </c>
      <c r="E40" s="50" t="s">
        <v>62</v>
      </c>
      <c r="F40" s="48">
        <v>2264</v>
      </c>
      <c r="G40" s="48">
        <v>0</v>
      </c>
      <c r="H40" s="48">
        <v>2264</v>
      </c>
      <c r="I40" s="48">
        <v>5000</v>
      </c>
      <c r="J40" s="76">
        <v>2000</v>
      </c>
      <c r="K40" s="64">
        <v>1</v>
      </c>
      <c r="L40" s="64">
        <v>1</v>
      </c>
      <c r="M40" s="48" t="s"/>
      <c r="N40" s="48" t="s"/>
      <c r="O40" s="48" t="s"/>
      <c r="P40" s="48" t="s"/>
      <c r="Q40" s="48" t="s"/>
      <c r="R40" s="48" t="s"/>
      <c r="S40" s="48" t="s"/>
      <c r="T40" s="48" t="s"/>
      <c r="U40" s="48" t="s"/>
      <c r="V40" s="48" t="s"/>
      <c r="W40" s="48" t="s"/>
      <c r="X40" s="48" t="s"/>
      <c r="Y40" s="48" t="s"/>
      <c r="Z40" s="48" t="s"/>
      <c r="AA40" s="48" t="s"/>
      <c r="AB40" s="48" t="s"/>
      <c r="AC40" s="48" t="s"/>
      <c r="AD40" s="48" t="s"/>
      <c r="AE40" s="48" t="s"/>
    </row>
    <row r="41" spans="1:31" ht="21" hidden="1" customHeight="1">
      <c r="A41" s="48" t="s"/>
      <c r="B41" s="48" t="s">
        <v>32</v>
      </c>
      <c r="C41" s="48" t="s">
        <v>96</v>
      </c>
      <c r="D41" s="48" t="s">
        <v>73</v>
      </c>
      <c r="E41" s="73" t="s">
        <v>62</v>
      </c>
      <c r="F41" s="48">
        <v>2000</v>
      </c>
      <c r="G41" s="48">
        <v>0</v>
      </c>
      <c r="H41" s="48">
        <v>2033</v>
      </c>
      <c r="I41" s="48">
        <v>100000</v>
      </c>
      <c r="J41" s="48">
        <v>0</v>
      </c>
      <c r="K41" s="48" t="s"/>
      <c r="L41" s="48" t="s"/>
      <c r="M41" s="48" t="s"/>
      <c r="N41" s="48" t="s"/>
      <c r="O41" s="48" t="s"/>
      <c r="P41" s="48" t="s"/>
      <c r="Q41" s="48" t="s"/>
      <c r="R41" s="48" t="s"/>
      <c r="S41" s="48" t="s"/>
      <c r="T41" s="48" t="s"/>
      <c r="U41" s="48" t="s"/>
      <c r="V41" s="48" t="s"/>
      <c r="W41" s="48" t="s"/>
      <c r="X41" s="48" t="s"/>
      <c r="Y41" s="48" t="s"/>
      <c r="Z41" s="48" t="s"/>
      <c r="AA41" s="48" t="s"/>
      <c r="AB41" s="48" t="s"/>
      <c r="AC41" s="48" t="s"/>
      <c r="AD41" s="48" t="s"/>
      <c r="AE41" s="48" t="s"/>
    </row>
    <row r="42" spans="1:31" ht="21" hidden="1" customHeight="1">
      <c r="A42" s="48" t="s"/>
      <c r="B42" s="48" t="s">
        <v>32</v>
      </c>
      <c r="C42" s="48" t="s">
        <v>97</v>
      </c>
      <c r="D42" s="77" t="s">
        <v>139</v>
      </c>
      <c r="E42" s="73" t="s">
        <v>62</v>
      </c>
      <c r="F42" s="48">
        <v>900</v>
      </c>
      <c r="G42" s="51">
        <v>2000</v>
      </c>
      <c r="H42" s="48">
        <v>2033</v>
      </c>
      <c r="I42" s="48">
        <v>120000</v>
      </c>
      <c r="J42" s="48" t="s">
        <v>55</v>
      </c>
      <c r="K42" s="48" t="s"/>
      <c r="L42" s="48" t="s"/>
      <c r="M42" s="48" t="s"/>
      <c r="N42" s="48" t="s"/>
      <c r="O42" s="48" t="s"/>
      <c r="P42" s="48" t="s"/>
      <c r="Q42" s="48" t="s"/>
      <c r="R42" s="48" t="s"/>
      <c r="S42" s="48" t="s"/>
      <c r="T42" s="48" t="s"/>
      <c r="U42" s="48" t="s"/>
      <c r="V42" s="48" t="s"/>
      <c r="W42" s="48" t="s"/>
      <c r="X42" s="48" t="s"/>
      <c r="Y42" s="48" t="s"/>
      <c r="Z42" s="48" t="s"/>
      <c r="AA42" s="48" t="s"/>
      <c r="AB42" s="48" t="s"/>
      <c r="AC42" s="48" t="s"/>
      <c r="AD42" s="48" t="s"/>
      <c r="AE42" s="48" t="s"/>
    </row>
    <row r="43" spans="1:31" ht="21" customHeight="1">
      <c r="A43" s="48" t="s"/>
      <c r="B43" s="76" t="s">
        <v>32</v>
      </c>
      <c r="C43" s="48" t="s">
        <v>98</v>
      </c>
      <c r="D43" s="48" t="s">
        <v>140</v>
      </c>
      <c r="E43" s="50" t="s">
        <v>62</v>
      </c>
      <c r="F43" s="48">
        <v>1620</v>
      </c>
      <c r="G43" s="48">
        <v>0</v>
      </c>
      <c r="H43" s="48">
        <v>2033</v>
      </c>
      <c r="I43" s="48">
        <v>5000</v>
      </c>
      <c r="J43" s="76">
        <v>2000</v>
      </c>
      <c r="K43" s="76">
        <v>1</v>
      </c>
      <c r="L43" s="64">
        <v>1</v>
      </c>
      <c r="M43" s="48" t="s"/>
      <c r="N43" s="48" t="s"/>
      <c r="O43" s="48" t="s"/>
      <c r="P43" s="48" t="s"/>
      <c r="Q43" s="48" t="s"/>
      <c r="R43" s="48" t="s"/>
      <c r="S43" s="48" t="s"/>
      <c r="T43" s="48" t="s"/>
      <c r="U43" s="48" t="s"/>
      <c r="V43" s="48" t="s"/>
      <c r="W43" s="48" t="s"/>
      <c r="X43" s="48" t="s"/>
      <c r="Y43" s="48" t="s"/>
      <c r="Z43" s="48" t="s"/>
      <c r="AA43" s="48" t="s"/>
      <c r="AB43" s="48" t="s"/>
      <c r="AC43" s="48" t="s"/>
      <c r="AD43" s="48" t="s"/>
      <c r="AE43" s="48" t="s"/>
    </row>
    <row r="44" spans="1:31" ht="21" customHeight="1">
      <c r="A44" s="48" t="s"/>
      <c r="B44" s="48" t="s"/>
      <c r="C44" s="48" t="s"/>
      <c r="D44" s="48" t="s"/>
      <c r="E44" s="50" t="s"/>
      <c r="F44" s="48" t="s"/>
      <c r="G44" s="48" t="s"/>
      <c r="H44" s="48" t="s"/>
      <c r="I44" s="48" t="s"/>
      <c r="J44" s="48" t="s"/>
      <c r="K44" s="48" t="s"/>
      <c r="L44" s="48" t="s"/>
      <c r="M44" s="48" t="s"/>
      <c r="N44" s="48" t="s"/>
      <c r="O44" s="48" t="s"/>
      <c r="P44" s="48" t="s"/>
      <c r="Q44" s="48" t="s"/>
      <c r="R44" s="48" t="s"/>
      <c r="S44" s="48" t="s"/>
      <c r="T44" s="48" t="s"/>
      <c r="U44" s="48" t="s"/>
      <c r="V44" s="48" t="s"/>
      <c r="W44" s="48" t="s"/>
      <c r="X44" s="48" t="s"/>
      <c r="Y44" s="48" t="s"/>
      <c r="Z44" s="48" t="s"/>
      <c r="AA44" s="48" t="s"/>
      <c r="AB44" s="48" t="s"/>
      <c r="AC44" s="48" t="s"/>
      <c r="AD44" s="48" t="s"/>
      <c r="AE44" s="48" t="s"/>
    </row>
    <row r="45" spans="1:31" ht="21" customHeight="1">
      <c r="A45" s="48" t="s"/>
      <c r="B45" s="48" t="s"/>
      <c r="C45" s="48" t="s"/>
      <c r="D45" s="48" t="s"/>
      <c r="E45" s="50" t="s"/>
      <c r="F45" s="48" t="s"/>
      <c r="G45" s="48" t="s"/>
      <c r="H45" s="48" t="s"/>
      <c r="I45" s="48" t="s"/>
      <c r="J45" s="48" t="s"/>
      <c r="K45" s="48" t="s"/>
      <c r="L45" s="48" t="s"/>
      <c r="M45" s="48" t="s"/>
      <c r="N45" s="48" t="s"/>
      <c r="O45" s="48" t="s"/>
      <c r="P45" s="48" t="s"/>
      <c r="Q45" s="48" t="s"/>
      <c r="R45" s="48" t="s"/>
      <c r="S45" s="48" t="s"/>
      <c r="T45" s="48" t="s"/>
      <c r="U45" s="48" t="s"/>
      <c r="V45" s="48" t="s"/>
      <c r="W45" s="48" t="s"/>
      <c r="X45" s="48" t="s"/>
      <c r="Y45" s="48" t="s"/>
      <c r="Z45" s="48" t="s"/>
      <c r="AA45" s="48" t="s"/>
      <c r="AB45" s="48" t="s"/>
      <c r="AC45" s="48" t="s"/>
      <c r="AD45" s="48" t="s"/>
      <c r="AE45" s="48" t="s"/>
    </row>
    <row r="46" spans="1:31" ht="21" customHeight="1">
      <c r="A46" s="48" t="s"/>
      <c r="B46" s="48" t="s"/>
      <c r="C46" s="48" t="s"/>
      <c r="D46" s="48" t="s"/>
      <c r="E46" s="50" t="s"/>
      <c r="F46" s="48" t="s"/>
      <c r="G46" s="48" t="s"/>
      <c r="H46" s="48" t="s"/>
      <c r="I46" s="48" t="s"/>
      <c r="J46" s="48" t="s"/>
      <c r="K46" s="48" t="s"/>
      <c r="L46" s="48" t="s"/>
      <c r="M46" s="48" t="s"/>
      <c r="N46" s="48" t="s"/>
      <c r="O46" s="48" t="s"/>
      <c r="P46" s="48" t="s"/>
      <c r="Q46" s="48" t="s"/>
      <c r="R46" s="48" t="s"/>
      <c r="S46" s="48" t="s"/>
      <c r="T46" s="48" t="s"/>
      <c r="U46" s="48" t="s"/>
      <c r="V46" s="48" t="s"/>
      <c r="W46" s="48" t="s"/>
      <c r="X46" s="48" t="s"/>
      <c r="Y46" s="48" t="s"/>
      <c r="Z46" s="48" t="s"/>
      <c r="AA46" s="48" t="s"/>
      <c r="AB46" s="48" t="s"/>
      <c r="AC46" s="48" t="s"/>
      <c r="AD46" s="48" t="s"/>
      <c r="AE46" s="48" t="s"/>
    </row>
    <row r="47" spans="1:31" ht="21" customHeight="1">
      <c r="A47" s="48" t="s"/>
      <c r="B47" s="48" t="s"/>
      <c r="C47" s="48" t="s"/>
      <c r="D47" s="48" t="s"/>
      <c r="E47" s="50" t="s"/>
      <c r="F47" s="48" t="s"/>
      <c r="G47" s="48" t="s"/>
      <c r="H47" s="48" t="s"/>
      <c r="I47" s="48" t="s"/>
      <c r="J47" s="48" t="s"/>
      <c r="K47" s="48" t="s"/>
      <c r="L47" s="48" t="s"/>
      <c r="M47" s="48" t="s"/>
      <c r="N47" s="48" t="s"/>
      <c r="O47" s="48" t="s"/>
      <c r="P47" s="48" t="s"/>
      <c r="Q47" s="48" t="s"/>
      <c r="R47" s="48" t="s"/>
      <c r="S47" s="48" t="s"/>
      <c r="T47" s="48" t="s"/>
      <c r="U47" s="48" t="s"/>
      <c r="V47" s="48" t="s"/>
      <c r="W47" s="48" t="s"/>
      <c r="X47" s="48" t="s"/>
      <c r="Y47" s="48" t="s"/>
      <c r="Z47" s="48" t="s"/>
      <c r="AA47" s="48" t="s"/>
      <c r="AB47" s="48" t="s"/>
      <c r="AC47" s="48" t="s"/>
      <c r="AD47" s="48" t="s"/>
      <c r="AE47" s="48" t="s"/>
    </row>
    <row r="48" spans="1:31" ht="21" customHeight="1">
      <c r="A48" s="48" t="s"/>
      <c r="B48" s="48" t="s"/>
      <c r="C48" s="48" t="s"/>
      <c r="D48" s="48" t="s"/>
      <c r="E48" s="50" t="s"/>
      <c r="F48" s="48" t="s"/>
      <c r="G48" s="48" t="s"/>
      <c r="H48" s="48" t="s"/>
      <c r="I48" s="48" t="s"/>
      <c r="J48" s="48" t="s"/>
      <c r="K48" s="48" t="s"/>
      <c r="L48" s="48" t="s"/>
      <c r="M48" s="48" t="s"/>
      <c r="N48" s="48" t="s"/>
      <c r="O48" s="48" t="s"/>
      <c r="P48" s="48" t="s"/>
      <c r="Q48" s="48" t="s"/>
      <c r="R48" s="48" t="s"/>
      <c r="S48" s="48" t="s"/>
      <c r="T48" s="48" t="s"/>
      <c r="U48" s="48" t="s"/>
      <c r="V48" s="48" t="s"/>
      <c r="W48" s="48" t="s"/>
      <c r="X48" s="48" t="s"/>
      <c r="Y48" s="48" t="s"/>
      <c r="Z48" s="48" t="s"/>
      <c r="AA48" s="48" t="s"/>
      <c r="AB48" s="48" t="s"/>
      <c r="AC48" s="48" t="s"/>
      <c r="AD48" s="48" t="s"/>
      <c r="AE48" s="48" t="s"/>
    </row>
    <row r="49" spans="1:31" ht="21" customHeight="1">
      <c r="A49" s="48" t="s"/>
      <c r="C49" s="48" t="s"/>
      <c r="D49" s="48" t="s"/>
      <c r="E49" s="50" t="s"/>
      <c r="F49" s="48" t="s"/>
      <c r="G49" s="48" t="s"/>
      <c r="H49" s="48" t="s"/>
      <c r="I49" s="48" t="s"/>
      <c r="J49" s="48" t="s"/>
      <c r="K49" s="48" t="s"/>
      <c r="L49" s="48" t="s"/>
      <c r="M49" s="48" t="s"/>
      <c r="N49" s="48" t="s"/>
      <c r="O49" s="48" t="s"/>
      <c r="P49" s="48" t="s"/>
      <c r="Q49" s="48" t="s"/>
      <c r="R49" s="48" t="s"/>
      <c r="S49" s="48" t="s"/>
      <c r="T49" s="48" t="s"/>
      <c r="U49" s="48" t="s"/>
      <c r="V49" s="48" t="s"/>
      <c r="W49" s="48" t="s"/>
      <c r="X49" s="48" t="s"/>
      <c r="Y49" s="48" t="s"/>
      <c r="Z49" s="48" t="s"/>
      <c r="AA49" s="48" t="s"/>
      <c r="AB49" s="48" t="s"/>
      <c r="AC49" s="48" t="s"/>
      <c r="AD49" s="48" t="s"/>
      <c r="AE49" s="48" t="s"/>
    </row>
    <row r="50" spans="1:31" ht="21" customHeight="1">
      <c r="A50" s="48" t="s"/>
      <c r="B50" s="48" t="s"/>
      <c r="C50" s="48" t="s"/>
      <c r="D50" s="48" t="s"/>
      <c r="E50" s="50" t="s"/>
      <c r="F50" s="48" t="s"/>
      <c r="G50" s="48" t="s"/>
      <c r="H50" s="48" t="s"/>
      <c r="I50" s="48" t="s"/>
      <c r="J50" s="48" t="s"/>
      <c r="K50" s="48" t="s"/>
      <c r="L50" s="48" t="s"/>
      <c r="M50" s="48" t="s"/>
      <c r="N50" s="48" t="s"/>
      <c r="O50" s="48" t="s"/>
      <c r="P50" s="48" t="s"/>
      <c r="Q50" s="48" t="s"/>
      <c r="R50" s="48" t="s"/>
      <c r="S50" s="48" t="s"/>
      <c r="T50" s="48" t="s"/>
      <c r="U50" s="48" t="s"/>
      <c r="V50" s="48" t="s"/>
      <c r="W50" s="48" t="s"/>
      <c r="X50" s="48" t="s"/>
      <c r="Y50" s="48" t="s"/>
      <c r="Z50" s="48" t="s"/>
      <c r="AA50" s="48" t="s"/>
      <c r="AB50" s="48" t="s"/>
      <c r="AC50" s="48" t="s"/>
      <c r="AD50" s="48" t="s"/>
      <c r="AE50" s="48" t="s"/>
    </row>
    <row r="51" spans="1:31" ht="21" customHeight="1">
      <c r="A51" s="48" t="s"/>
      <c r="B51" s="48" t="s"/>
      <c r="C51" s="48" t="s"/>
      <c r="D51" s="48" t="s"/>
      <c r="E51" s="50" t="s"/>
      <c r="F51" s="48" t="s"/>
      <c r="G51" s="48" t="s"/>
      <c r="H51" s="48" t="s"/>
      <c r="I51" s="48" t="s"/>
      <c r="J51" s="48" t="s"/>
      <c r="K51" s="48" t="s"/>
      <c r="L51" s="48" t="s"/>
      <c r="M51" s="48" t="s"/>
      <c r="N51" s="48" t="s"/>
      <c r="O51" s="48" t="s"/>
      <c r="P51" s="48" t="s"/>
      <c r="Q51" s="48" t="s"/>
      <c r="R51" s="48" t="s"/>
      <c r="S51" s="48" t="s"/>
      <c r="T51" s="48" t="s"/>
      <c r="U51" s="48" t="s"/>
      <c r="V51" s="48" t="s"/>
      <c r="W51" s="48" t="s"/>
      <c r="X51" s="48" t="s"/>
      <c r="Y51" s="48" t="s"/>
      <c r="Z51" s="48" t="s"/>
      <c r="AA51" s="48" t="s"/>
      <c r="AB51" s="48" t="s"/>
      <c r="AC51" s="48" t="s"/>
      <c r="AD51" s="48" t="s"/>
      <c r="AE51" s="48" t="s"/>
    </row>
    <row r="52" spans="1:31" ht="21" customHeight="1">
      <c r="A52" s="48" t="s"/>
      <c r="B52" s="48" t="s"/>
      <c r="C52" s="48" t="s"/>
      <c r="D52" s="48" t="s"/>
      <c r="E52" s="50" t="s"/>
      <c r="F52" s="48" t="s"/>
      <c r="G52" s="48" t="s"/>
      <c r="H52" s="48" t="s"/>
      <c r="I52" s="48" t="s"/>
      <c r="J52" s="48" t="s"/>
      <c r="K52" s="48" t="s"/>
      <c r="L52" s="48" t="s"/>
      <c r="M52" s="48" t="s"/>
      <c r="N52" s="48" t="s"/>
      <c r="O52" s="48" t="s"/>
      <c r="P52" s="48" t="s"/>
      <c r="Q52" s="48" t="s"/>
      <c r="R52" s="48" t="s"/>
      <c r="S52" s="48" t="s"/>
      <c r="T52" s="48" t="s"/>
      <c r="U52" s="48" t="s"/>
      <c r="V52" s="48" t="s"/>
      <c r="W52" s="48" t="s"/>
      <c r="X52" s="48" t="s"/>
      <c r="Y52" s="48" t="s"/>
      <c r="Z52" s="48" t="s"/>
      <c r="AA52" s="48" t="s"/>
      <c r="AB52" s="48" t="s"/>
      <c r="AC52" s="48" t="s"/>
      <c r="AD52" s="48" t="s"/>
      <c r="AE52" s="48" t="s"/>
    </row>
    <row r="53" spans="1:31" ht="21" customHeight="1">
      <c r="A53" s="48" t="s"/>
      <c r="B53" s="48" t="s"/>
      <c r="C53" s="48" t="s"/>
      <c r="D53" s="48" t="s"/>
      <c r="E53" s="50" t="s"/>
      <c r="F53" s="48" t="s"/>
      <c r="G53" s="48" t="s"/>
      <c r="H53" s="48" t="s"/>
      <c r="I53" s="48" t="s"/>
      <c r="J53" s="48" t="s"/>
      <c r="K53" s="48" t="s"/>
      <c r="L53" s="48" t="s"/>
      <c r="M53" s="48" t="s"/>
      <c r="N53" s="48" t="s"/>
      <c r="O53" s="48" t="s"/>
      <c r="P53" s="48" t="s"/>
      <c r="Q53" s="48" t="s"/>
      <c r="R53" s="48" t="s"/>
      <c r="S53" s="48" t="s"/>
      <c r="T53" s="48" t="s"/>
      <c r="U53" s="48" t="s"/>
      <c r="V53" s="48" t="s"/>
      <c r="W53" s="48" t="s"/>
      <c r="X53" s="48" t="s"/>
      <c r="Y53" s="48" t="s"/>
      <c r="Z53" s="48" t="s"/>
      <c r="AA53" s="48" t="s"/>
      <c r="AB53" s="48" t="s"/>
      <c r="AC53" s="48" t="s"/>
      <c r="AD53" s="48" t="s"/>
      <c r="AE53" s="48" t="s"/>
    </row>
    <row r="54" spans="1:31" ht="21" customHeight="1">
      <c r="A54" s="48" t="s"/>
      <c r="B54" s="48" t="s"/>
      <c r="C54" s="48" t="s"/>
      <c r="D54" s="48" t="s"/>
      <c r="E54" s="50" t="s"/>
      <c r="F54" s="48" t="s"/>
      <c r="G54" s="48" t="s"/>
      <c r="H54" s="48" t="s"/>
      <c r="I54" s="48" t="s"/>
      <c r="J54" s="48" t="s"/>
      <c r="K54" s="48" t="s"/>
      <c r="L54" s="48" t="s"/>
      <c r="M54" s="48" t="s"/>
      <c r="N54" s="48" t="s"/>
      <c r="O54" s="48" t="s"/>
      <c r="P54" s="48" t="s"/>
      <c r="Q54" s="48" t="s"/>
      <c r="R54" s="48" t="s"/>
      <c r="S54" s="48" t="s"/>
      <c r="T54" s="48" t="s"/>
      <c r="U54" s="48" t="s"/>
      <c r="V54" s="48" t="s"/>
      <c r="W54" s="48" t="s"/>
      <c r="X54" s="48" t="s"/>
      <c r="Y54" s="48" t="s"/>
      <c r="Z54" s="48" t="s"/>
      <c r="AA54" s="48" t="s"/>
      <c r="AB54" s="48" t="s"/>
      <c r="AC54" s="48" t="s"/>
      <c r="AD54" s="48" t="s"/>
      <c r="AE54" s="48" t="s"/>
    </row>
    <row r="55" spans="1:31" ht="21" customHeight="1">
      <c r="A55" s="48" t="s"/>
      <c r="B55" s="48" t="s"/>
      <c r="C55" s="48" t="s"/>
      <c r="D55" s="48" t="s"/>
      <c r="E55" s="50" t="s"/>
      <c r="F55" s="48" t="s"/>
      <c r="G55" s="48" t="s"/>
      <c r="H55" s="48" t="s"/>
      <c r="I55" s="48" t="s"/>
      <c r="J55" s="48" t="s"/>
      <c r="K55" s="48" t="s"/>
      <c r="L55" s="48" t="s"/>
      <c r="M55" s="48" t="s"/>
      <c r="N55" s="48" t="s"/>
      <c r="O55" s="48" t="s"/>
      <c r="P55" s="48" t="s"/>
      <c r="Q55" s="48" t="s"/>
      <c r="R55" s="48" t="s"/>
      <c r="S55" s="48" t="s"/>
      <c r="T55" s="48" t="s"/>
      <c r="U55" s="48" t="s"/>
      <c r="V55" s="48" t="s"/>
      <c r="W55" s="48" t="s"/>
      <c r="X55" s="48" t="s"/>
      <c r="Y55" s="48" t="s"/>
      <c r="Z55" s="48" t="s"/>
      <c r="AA55" s="48" t="s"/>
      <c r="AB55" s="48" t="s"/>
      <c r="AC55" s="48" t="s"/>
      <c r="AD55" s="48" t="s"/>
      <c r="AE55" s="48" t="s"/>
    </row>
    <row r="56" spans="1:31" ht="21" customHeight="1">
      <c r="A56" s="48" t="s"/>
      <c r="B56" s="48" t="s"/>
      <c r="C56" s="48" t="s"/>
      <c r="D56" s="48" t="s"/>
      <c r="E56" s="50" t="s"/>
      <c r="F56" s="48" t="s"/>
      <c r="G56" s="48" t="s"/>
      <c r="H56" s="48" t="s"/>
      <c r="I56" s="48" t="s"/>
      <c r="J56" s="48" t="s"/>
      <c r="K56" s="48" t="s"/>
      <c r="L56" s="48" t="s"/>
      <c r="M56" s="48" t="s"/>
      <c r="N56" s="48" t="s"/>
      <c r="O56" s="48" t="s"/>
      <c r="P56" s="48" t="s"/>
      <c r="Q56" s="48" t="s"/>
      <c r="R56" s="48" t="s"/>
      <c r="S56" s="48" t="s"/>
      <c r="T56" s="48" t="s"/>
      <c r="U56" s="48" t="s"/>
      <c r="V56" s="48" t="s"/>
      <c r="W56" s="48" t="s"/>
      <c r="X56" s="48" t="s"/>
      <c r="Y56" s="48" t="s"/>
      <c r="Z56" s="48" t="s"/>
      <c r="AA56" s="48" t="s"/>
      <c r="AB56" s="48" t="s"/>
      <c r="AC56" s="48" t="s"/>
      <c r="AD56" s="48" t="s"/>
      <c r="AE56" s="48" t="s"/>
    </row>
    <row r="57" spans="1:31" ht="21" customHeight="1">
      <c r="A57" s="48" t="s"/>
      <c r="B57" s="48" t="s"/>
      <c r="C57" s="48" t="s"/>
      <c r="D57" s="48" t="s"/>
      <c r="E57" s="50" t="s"/>
      <c r="F57" s="48" t="s"/>
      <c r="G57" s="48" t="s"/>
      <c r="H57" s="48" t="s"/>
      <c r="I57" s="48" t="s"/>
      <c r="J57" s="48" t="s"/>
      <c r="K57" s="48" t="s"/>
      <c r="L57" s="48" t="s"/>
      <c r="M57" s="48" t="s"/>
      <c r="N57" s="48" t="s"/>
      <c r="O57" s="48" t="s"/>
      <c r="P57" s="48" t="s"/>
      <c r="Q57" s="48" t="s"/>
      <c r="R57" s="48" t="s"/>
      <c r="S57" s="48" t="s"/>
      <c r="T57" s="48" t="s"/>
      <c r="U57" s="48" t="s"/>
      <c r="V57" s="48" t="s"/>
      <c r="W57" s="48" t="s"/>
      <c r="X57" s="48" t="s"/>
      <c r="Y57" s="48" t="s"/>
      <c r="Z57" s="48" t="s"/>
      <c r="AA57" s="48" t="s"/>
      <c r="AB57" s="48" t="s"/>
      <c r="AC57" s="48" t="s"/>
      <c r="AD57" s="48" t="s"/>
      <c r="AE57" s="48" t="s"/>
    </row>
    <row r="58" spans="1:31" ht="21" customHeight="1">
      <c r="A58" s="48" t="s"/>
      <c r="B58" s="48" t="s"/>
      <c r="C58" s="48" t="s"/>
      <c r="D58" s="48" t="s"/>
      <c r="E58" s="50" t="s"/>
      <c r="F58" s="48" t="s"/>
      <c r="G58" s="48" t="s"/>
      <c r="H58" s="48" t="s"/>
      <c r="I58" s="48" t="s"/>
      <c r="J58" s="48" t="s"/>
      <c r="K58" s="48" t="s"/>
      <c r="L58" s="48" t="s"/>
      <c r="M58" s="48" t="s"/>
      <c r="N58" s="48" t="s"/>
      <c r="O58" s="48" t="s"/>
      <c r="P58" s="48" t="s"/>
      <c r="Q58" s="48" t="s"/>
      <c r="R58" s="48" t="s"/>
      <c r="S58" s="48" t="s"/>
      <c r="T58" s="48" t="s"/>
      <c r="U58" s="48" t="s"/>
      <c r="V58" s="48" t="s"/>
      <c r="W58" s="48" t="s"/>
      <c r="X58" s="48" t="s"/>
      <c r="Y58" s="48" t="s"/>
      <c r="Z58" s="48" t="s"/>
      <c r="AA58" s="48" t="s"/>
      <c r="AB58" s="48" t="s"/>
      <c r="AC58" s="48" t="s"/>
      <c r="AD58" s="48" t="s"/>
      <c r="AE58" s="48" t="s"/>
    </row>
    <row r="59" spans="1:31" ht="21" customHeight="1">
      <c r="A59" s="48" t="s"/>
      <c r="B59" s="48" t="s"/>
      <c r="C59" s="48" t="s"/>
      <c r="D59" s="48" t="s"/>
      <c r="E59" s="50" t="s"/>
      <c r="F59" s="48" t="s"/>
      <c r="G59" s="48" t="s"/>
      <c r="H59" s="48" t="s"/>
      <c r="I59" s="48" t="s"/>
      <c r="J59" s="48" t="s"/>
      <c r="K59" s="48" t="s"/>
      <c r="L59" s="48" t="s"/>
      <c r="M59" s="48" t="s"/>
      <c r="N59" s="48" t="s"/>
      <c r="O59" s="48" t="s"/>
      <c r="P59" s="48" t="s"/>
      <c r="Q59" s="48" t="s"/>
      <c r="R59" s="48" t="s"/>
      <c r="S59" s="48" t="s"/>
      <c r="T59" s="48" t="s"/>
      <c r="U59" s="48" t="s"/>
      <c r="V59" s="48" t="s"/>
      <c r="W59" s="48" t="s"/>
      <c r="X59" s="48" t="s"/>
      <c r="Y59" s="48" t="s"/>
      <c r="Z59" s="48" t="s"/>
      <c r="AA59" s="48" t="s"/>
      <c r="AB59" s="48" t="s"/>
      <c r="AC59" s="48" t="s"/>
      <c r="AD59" s="48" t="s"/>
      <c r="AE59" s="48" t="s"/>
    </row>
    <row r="60" spans="1:31" ht="21" customHeight="1">
      <c r="A60" s="48" t="s"/>
      <c r="B60" s="48" t="s"/>
      <c r="C60" s="48" t="s"/>
      <c r="D60" s="48" t="s"/>
      <c r="E60" s="50" t="s"/>
      <c r="F60" s="48" t="s"/>
      <c r="G60" s="48" t="s"/>
      <c r="H60" s="48" t="s"/>
      <c r="I60" s="48" t="s"/>
      <c r="J60" s="48" t="s"/>
      <c r="K60" s="48" t="s"/>
      <c r="L60" s="48" t="s"/>
      <c r="M60" s="48" t="s"/>
      <c r="N60" s="48" t="s"/>
      <c r="O60" s="48" t="s"/>
      <c r="P60" s="48" t="s"/>
      <c r="Q60" s="48" t="s"/>
      <c r="R60" s="48" t="s"/>
      <c r="S60" s="48" t="s"/>
      <c r="T60" s="48" t="s"/>
      <c r="U60" s="48" t="s"/>
      <c r="V60" s="48" t="s"/>
      <c r="W60" s="48" t="s"/>
      <c r="X60" s="48" t="s"/>
      <c r="Y60" s="48" t="s"/>
      <c r="Z60" s="48" t="s"/>
      <c r="AA60" s="48" t="s"/>
      <c r="AB60" s="48" t="s"/>
      <c r="AC60" s="48" t="s"/>
      <c r="AD60" s="48" t="s"/>
      <c r="AE60" s="48" t="s"/>
    </row>
    <row r="61" spans="1:31" ht="21" customHeight="1">
      <c r="A61" s="48" t="s"/>
      <c r="B61" s="48" t="s"/>
      <c r="C61" s="48" t="s"/>
      <c r="D61" s="48" t="s"/>
      <c r="E61" s="50" t="s"/>
      <c r="F61" s="48" t="s"/>
      <c r="G61" s="48" t="s"/>
      <c r="H61" s="48" t="s"/>
      <c r="I61" s="48" t="s"/>
      <c r="J61" s="48" t="s"/>
      <c r="K61" s="48" t="s"/>
      <c r="L61" s="48" t="s"/>
      <c r="M61" s="48" t="s"/>
      <c r="N61" s="48" t="s"/>
      <c r="O61" s="48" t="s"/>
      <c r="P61" s="48" t="s"/>
      <c r="Q61" s="48" t="s"/>
      <c r="R61" s="48" t="s"/>
      <c r="S61" s="48" t="s"/>
      <c r="T61" s="48" t="s"/>
      <c r="U61" s="48" t="s"/>
      <c r="V61" s="48" t="s"/>
      <c r="W61" s="48" t="s"/>
      <c r="X61" s="48" t="s"/>
      <c r="Y61" s="48" t="s"/>
      <c r="Z61" s="48" t="s"/>
      <c r="AA61" s="48" t="s"/>
      <c r="AB61" s="48" t="s"/>
      <c r="AC61" s="48" t="s"/>
      <c r="AD61" s="48" t="s"/>
      <c r="AE61" s="48" t="s"/>
    </row>
    <row r="62" spans="1:31" ht="21" customHeight="1">
      <c r="A62" s="48" t="s"/>
      <c r="B62" s="48" t="s"/>
      <c r="C62" s="48" t="s"/>
      <c r="D62" s="48" t="s"/>
      <c r="E62" s="50" t="s"/>
      <c r="F62" s="48" t="s"/>
      <c r="G62" s="48" t="s"/>
      <c r="H62" s="48" t="s"/>
      <c r="I62" s="48" t="s"/>
      <c r="J62" s="48" t="s"/>
      <c r="K62" s="48" t="s"/>
      <c r="L62" s="48" t="s"/>
      <c r="M62" s="48" t="s"/>
      <c r="N62" s="48" t="s"/>
      <c r="O62" s="48" t="s"/>
      <c r="P62" s="48" t="s"/>
      <c r="Q62" s="48" t="s"/>
      <c r="R62" s="48" t="s"/>
      <c r="S62" s="48" t="s"/>
      <c r="T62" s="48" t="s"/>
      <c r="U62" s="48" t="s"/>
      <c r="V62" s="48" t="s"/>
      <c r="W62" s="48" t="s"/>
      <c r="X62" s="48" t="s"/>
      <c r="Y62" s="48" t="s"/>
      <c r="Z62" s="48" t="s"/>
      <c r="AA62" s="48" t="s"/>
      <c r="AB62" s="48" t="s"/>
      <c r="AC62" s="48" t="s"/>
      <c r="AD62" s="48" t="s"/>
      <c r="AE62" s="48" t="s"/>
    </row>
    <row r="63" spans="1:31" ht="21" customHeight="1">
      <c r="A63" s="48" t="s"/>
      <c r="B63" s="48" t="s"/>
      <c r="C63" s="48" t="s"/>
      <c r="D63" s="48" t="s"/>
      <c r="E63" s="50" t="s"/>
      <c r="F63" s="48" t="s"/>
      <c r="G63" s="48" t="s"/>
      <c r="H63" s="48" t="s"/>
      <c r="I63" s="48" t="s"/>
      <c r="J63" s="48" t="s"/>
      <c r="K63" s="48" t="s"/>
      <c r="L63" s="48" t="s"/>
      <c r="M63" s="48" t="s"/>
      <c r="N63" s="48" t="s"/>
      <c r="O63" s="48" t="s"/>
      <c r="P63" s="48" t="s"/>
      <c r="Q63" s="48" t="s"/>
      <c r="R63" s="48" t="s"/>
      <c r="S63" s="48" t="s"/>
      <c r="T63" s="48" t="s"/>
      <c r="U63" s="48" t="s"/>
      <c r="V63" s="48" t="s"/>
      <c r="W63" s="48" t="s"/>
      <c r="X63" s="48" t="s"/>
      <c r="Y63" s="48" t="s"/>
      <c r="Z63" s="48" t="s"/>
      <c r="AA63" s="48" t="s"/>
      <c r="AB63" s="48" t="s"/>
      <c r="AC63" s="48" t="s"/>
      <c r="AD63" s="48" t="s"/>
      <c r="AE63" s="48" t="s"/>
    </row>
    <row r="64" spans="1:31" ht="21" customHeight="1">
      <c r="A64" s="48" t="s"/>
      <c r="B64" s="48" t="s"/>
      <c r="C64" s="48" t="s"/>
      <c r="D64" s="48" t="s"/>
      <c r="E64" s="50" t="s"/>
      <c r="F64" s="48" t="s"/>
      <c r="G64" s="48" t="s"/>
      <c r="H64" s="48" t="s"/>
      <c r="I64" s="48" t="s"/>
      <c r="J64" s="48" t="s"/>
      <c r="K64" s="48" t="s"/>
      <c r="L64" s="48" t="s"/>
      <c r="M64" s="48" t="s"/>
      <c r="N64" s="48" t="s"/>
      <c r="O64" s="48" t="s"/>
      <c r="P64" s="48" t="s"/>
      <c r="Q64" s="48" t="s"/>
      <c r="R64" s="48" t="s"/>
      <c r="S64" s="48" t="s"/>
      <c r="T64" s="48" t="s"/>
      <c r="U64" s="48" t="s"/>
      <c r="V64" s="48" t="s"/>
      <c r="W64" s="48" t="s"/>
      <c r="X64" s="48" t="s"/>
      <c r="Y64" s="48" t="s"/>
      <c r="Z64" s="48" t="s"/>
      <c r="AA64" s="48" t="s"/>
      <c r="AB64" s="48" t="s"/>
      <c r="AC64" s="48" t="s"/>
      <c r="AD64" s="48" t="s"/>
      <c r="AE64" s="48" t="s"/>
    </row>
    <row r="65" spans="1:31" ht="21" customHeight="1">
      <c r="A65" s="48" t="s"/>
      <c r="B65" s="48" t="s"/>
      <c r="C65" s="48" t="s"/>
      <c r="D65" s="48" t="s"/>
      <c r="E65" s="50" t="s"/>
      <c r="F65" s="48" t="s"/>
      <c r="G65" s="48" t="s"/>
      <c r="H65" s="48" t="s"/>
      <c r="I65" s="48" t="s"/>
      <c r="J65" s="48" t="s"/>
      <c r="K65" s="48" t="s"/>
      <c r="L65" s="48" t="s"/>
      <c r="M65" s="48" t="s"/>
      <c r="N65" s="48" t="s"/>
      <c r="O65" s="48" t="s"/>
      <c r="P65" s="48" t="s"/>
      <c r="Q65" s="48" t="s"/>
      <c r="R65" s="48" t="s"/>
      <c r="S65" s="48" t="s"/>
      <c r="T65" s="48" t="s"/>
      <c r="U65" s="48" t="s"/>
      <c r="V65" s="48" t="s"/>
      <c r="W65" s="48" t="s"/>
      <c r="X65" s="48" t="s"/>
      <c r="Y65" s="48" t="s"/>
      <c r="Z65" s="48" t="s"/>
      <c r="AA65" s="48" t="s"/>
      <c r="AB65" s="48" t="s"/>
      <c r="AC65" s="48" t="s"/>
      <c r="AD65" s="48" t="s"/>
      <c r="AE65" s="48" t="s"/>
    </row>
    <row r="66" spans="1:31" ht="21" customHeight="1">
      <c r="A66" s="48" t="s"/>
      <c r="B66" s="48" t="s"/>
      <c r="C66" s="48" t="s"/>
      <c r="D66" s="48" t="s"/>
      <c r="E66" s="50" t="s"/>
      <c r="F66" s="48" t="s"/>
      <c r="G66" s="48" t="s"/>
      <c r="H66" s="48" t="s"/>
      <c r="I66" s="48" t="s"/>
      <c r="J66" s="48" t="s"/>
      <c r="K66" s="48" t="s"/>
      <c r="L66" s="48" t="s"/>
      <c r="M66" s="48" t="s"/>
      <c r="N66" s="48" t="s"/>
      <c r="O66" s="48" t="s"/>
      <c r="P66" s="48" t="s"/>
      <c r="Q66" s="48" t="s"/>
      <c r="R66" s="48" t="s"/>
      <c r="S66" s="48" t="s"/>
      <c r="T66" s="48" t="s"/>
      <c r="U66" s="48" t="s"/>
      <c r="V66" s="48" t="s"/>
      <c r="W66" s="48" t="s"/>
      <c r="X66" s="48" t="s"/>
      <c r="Y66" s="48" t="s"/>
      <c r="Z66" s="48" t="s"/>
      <c r="AA66" s="48" t="s"/>
      <c r="AB66" s="48" t="s"/>
      <c r="AC66" s="48" t="s"/>
      <c r="AD66" s="48" t="s"/>
      <c r="AE66" s="48" t="s"/>
    </row>
    <row r="67" spans="1:31" ht="21" customHeight="1">
      <c r="A67" s="48" t="s"/>
      <c r="B67" s="48" t="s"/>
      <c r="C67" s="48" t="s"/>
      <c r="D67" s="48" t="s"/>
      <c r="E67" s="50" t="s"/>
      <c r="F67" s="48" t="s"/>
      <c r="G67" s="48" t="s"/>
      <c r="H67" s="48" t="s"/>
      <c r="I67" s="48" t="s"/>
      <c r="J67" s="48" t="s"/>
      <c r="K67" s="48" t="s"/>
      <c r="L67" s="48" t="s"/>
      <c r="M67" s="48" t="s"/>
      <c r="N67" s="48" t="s"/>
      <c r="O67" s="48" t="s"/>
      <c r="P67" s="48" t="s"/>
      <c r="Q67" s="48" t="s"/>
      <c r="R67" s="48" t="s"/>
      <c r="S67" s="48" t="s"/>
      <c r="T67" s="48" t="s"/>
      <c r="U67" s="48" t="s"/>
      <c r="V67" s="48" t="s"/>
      <c r="W67" s="48" t="s"/>
      <c r="X67" s="48" t="s"/>
      <c r="Y67" s="48" t="s"/>
      <c r="Z67" s="48" t="s"/>
      <c r="AA67" s="48" t="s"/>
      <c r="AB67" s="48" t="s"/>
      <c r="AC67" s="48" t="s"/>
      <c r="AD67" s="48" t="s"/>
      <c r="AE67" s="48" t="s"/>
    </row>
    <row r="68" spans="1:31" ht="21" customHeight="1">
      <c r="A68" s="48" t="s"/>
      <c r="B68" s="48" t="s"/>
      <c r="C68" s="48" t="s"/>
      <c r="D68" s="48" t="s"/>
      <c r="E68" s="50" t="s"/>
      <c r="F68" s="48" t="s"/>
      <c r="G68" s="48" t="s"/>
      <c r="H68" s="48" t="s"/>
      <c r="I68" s="48" t="s"/>
      <c r="J68" s="48" t="s"/>
      <c r="K68" s="48" t="s"/>
      <c r="L68" s="48" t="s"/>
      <c r="M68" s="48" t="s"/>
      <c r="N68" s="48" t="s"/>
      <c r="O68" s="48" t="s"/>
      <c r="P68" s="48" t="s"/>
      <c r="Q68" s="48" t="s"/>
      <c r="R68" s="48" t="s"/>
      <c r="S68" s="48" t="s"/>
      <c r="T68" s="48" t="s"/>
      <c r="U68" s="48" t="s"/>
      <c r="V68" s="48" t="s"/>
      <c r="W68" s="48" t="s"/>
      <c r="X68" s="48" t="s"/>
      <c r="Y68" s="48" t="s"/>
      <c r="Z68" s="48" t="s"/>
      <c r="AA68" s="48" t="s"/>
      <c r="AB68" s="48" t="s"/>
      <c r="AC68" s="48" t="s"/>
      <c r="AD68" s="48" t="s"/>
      <c r="AE68" s="48" t="s"/>
    </row>
    <row r="69" spans="1:31" ht="21" customHeight="1">
      <c r="A69" s="48" t="s"/>
      <c r="B69" s="48" t="s"/>
      <c r="C69" s="48" t="s"/>
      <c r="D69" s="48" t="s"/>
      <c r="E69" s="50" t="s"/>
      <c r="F69" s="48" t="s"/>
      <c r="G69" s="48" t="s"/>
      <c r="H69" s="48" t="s"/>
      <c r="I69" s="48" t="s"/>
      <c r="J69" s="48" t="s"/>
      <c r="K69" s="48" t="s"/>
      <c r="L69" s="48" t="s"/>
      <c r="M69" s="48" t="s"/>
      <c r="N69" s="48" t="s"/>
      <c r="O69" s="48" t="s"/>
      <c r="P69" s="48" t="s"/>
      <c r="Q69" s="48" t="s"/>
      <c r="R69" s="48" t="s"/>
      <c r="S69" s="48" t="s"/>
      <c r="T69" s="48" t="s"/>
      <c r="U69" s="48" t="s"/>
      <c r="V69" s="48" t="s"/>
      <c r="W69" s="48" t="s"/>
      <c r="X69" s="48" t="s"/>
      <c r="Y69" s="48" t="s"/>
      <c r="Z69" s="48" t="s"/>
      <c r="AA69" s="48" t="s"/>
      <c r="AB69" s="48" t="s"/>
      <c r="AC69" s="48" t="s"/>
      <c r="AD69" s="48" t="s"/>
      <c r="AE69" s="48" t="s"/>
    </row>
    <row r="70" spans="1:31" ht="21" customHeight="1">
      <c r="A70" s="48" t="s"/>
      <c r="B70" s="48" t="s"/>
      <c r="C70" s="48" t="s"/>
      <c r="D70" s="48" t="s"/>
      <c r="E70" s="50" t="s"/>
      <c r="F70" s="48" t="s"/>
      <c r="G70" s="48" t="s"/>
      <c r="H70" s="48" t="s"/>
      <c r="I70" s="48" t="s"/>
      <c r="J70" s="48" t="s"/>
      <c r="K70" s="48" t="s"/>
      <c r="L70" s="48" t="s"/>
      <c r="M70" s="48" t="s"/>
      <c r="N70" s="48" t="s"/>
      <c r="O70" s="48" t="s"/>
      <c r="P70" s="48" t="s"/>
      <c r="Q70" s="48" t="s"/>
      <c r="R70" s="48" t="s"/>
      <c r="S70" s="48" t="s"/>
      <c r="T70" s="48" t="s"/>
      <c r="U70" s="48" t="s"/>
      <c r="V70" s="48" t="s"/>
      <c r="W70" s="48" t="s"/>
      <c r="X70" s="48" t="s"/>
      <c r="Y70" s="48" t="s"/>
      <c r="Z70" s="48" t="s"/>
      <c r="AA70" s="48" t="s"/>
      <c r="AB70" s="48" t="s"/>
      <c r="AC70" s="48" t="s"/>
      <c r="AD70" s="48" t="s"/>
      <c r="AE70" s="48" t="s"/>
    </row>
    <row r="71" spans="1:31" ht="21" customHeight="1">
      <c r="A71" s="48" t="s"/>
      <c r="B71" s="48" t="s"/>
      <c r="C71" s="48" t="s"/>
      <c r="D71" s="48" t="s"/>
      <c r="E71" s="50" t="s"/>
      <c r="F71" s="48" t="s"/>
      <c r="G71" s="48" t="s"/>
      <c r="H71" s="48" t="s"/>
      <c r="I71" s="48" t="s"/>
      <c r="J71" s="48" t="s"/>
      <c r="K71" s="48" t="s"/>
      <c r="L71" s="48" t="s"/>
      <c r="M71" s="48" t="s"/>
      <c r="N71" s="48" t="s"/>
      <c r="O71" s="48" t="s"/>
      <c r="P71" s="48" t="s"/>
      <c r="Q71" s="48" t="s"/>
      <c r="R71" s="48" t="s"/>
      <c r="S71" s="48" t="s"/>
      <c r="T71" s="48" t="s"/>
      <c r="U71" s="48" t="s"/>
      <c r="V71" s="48" t="s"/>
      <c r="W71" s="48" t="s"/>
      <c r="X71" s="48" t="s"/>
      <c r="Y71" s="48" t="s"/>
      <c r="Z71" s="48" t="s"/>
      <c r="AA71" s="48" t="s"/>
      <c r="AB71" s="48" t="s"/>
      <c r="AC71" s="48" t="s"/>
      <c r="AD71" s="48" t="s"/>
      <c r="AE71" s="48" t="s"/>
    </row>
    <row r="72" spans="1:31" ht="21" customHeight="1">
      <c r="A72" s="48" t="s"/>
      <c r="B72" s="48" t="s"/>
      <c r="C72" s="48" t="s"/>
      <c r="D72" s="48" t="s"/>
      <c r="E72" s="50" t="s"/>
      <c r="F72" s="48" t="s"/>
      <c r="G72" s="48" t="s"/>
      <c r="H72" s="48" t="s"/>
      <c r="I72" s="48" t="s"/>
      <c r="J72" s="48" t="s"/>
      <c r="K72" s="48" t="s"/>
      <c r="L72" s="48" t="s"/>
      <c r="M72" s="48" t="s"/>
      <c r="N72" s="48" t="s"/>
      <c r="O72" s="48" t="s"/>
      <c r="P72" s="48" t="s"/>
      <c r="Q72" s="48" t="s"/>
      <c r="R72" s="48" t="s"/>
      <c r="S72" s="48" t="s"/>
      <c r="T72" s="48" t="s"/>
      <c r="U72" s="48" t="s"/>
      <c r="V72" s="48" t="s"/>
      <c r="W72" s="48" t="s"/>
      <c r="X72" s="48" t="s"/>
      <c r="Y72" s="48" t="s"/>
      <c r="Z72" s="48" t="s"/>
      <c r="AA72" s="48" t="s"/>
      <c r="AB72" s="48" t="s"/>
      <c r="AC72" s="48" t="s"/>
      <c r="AD72" s="48" t="s"/>
      <c r="AE72" s="48" t="s"/>
    </row>
    <row r="73" spans="1:31" ht="21" customHeight="1">
      <c r="A73" s="48" t="s"/>
      <c r="B73" s="48" t="s"/>
      <c r="C73" s="48" t="s"/>
      <c r="D73" s="48" t="s"/>
      <c r="E73" s="50" t="s"/>
      <c r="F73" s="48" t="s"/>
      <c r="G73" s="48" t="s"/>
      <c r="H73" s="48" t="s"/>
      <c r="I73" s="48" t="s"/>
      <c r="J73" s="48" t="s"/>
      <c r="K73" s="48" t="s"/>
      <c r="L73" s="48" t="s"/>
      <c r="M73" s="48" t="s"/>
      <c r="N73" s="48" t="s"/>
      <c r="O73" s="48" t="s"/>
      <c r="P73" s="48" t="s"/>
      <c r="Q73" s="48" t="s"/>
      <c r="R73" s="48" t="s"/>
      <c r="S73" s="48" t="s"/>
      <c r="T73" s="48" t="s"/>
      <c r="U73" s="48" t="s"/>
      <c r="V73" s="48" t="s"/>
      <c r="W73" s="48" t="s"/>
      <c r="X73" s="48" t="s"/>
      <c r="Y73" s="48" t="s"/>
      <c r="Z73" s="48" t="s"/>
      <c r="AA73" s="48" t="s"/>
      <c r="AB73" s="48" t="s"/>
      <c r="AC73" s="48" t="s"/>
      <c r="AD73" s="48" t="s"/>
      <c r="AE73" s="48" t="s"/>
    </row>
    <row r="74" spans="1:31" ht="21" customHeight="1">
      <c r="A74" s="48" t="s"/>
      <c r="B74" s="48" t="s"/>
      <c r="C74" s="48" t="s"/>
      <c r="D74" s="48" t="s"/>
      <c r="E74" s="50" t="s"/>
      <c r="F74" s="48" t="s"/>
      <c r="G74" s="48" t="s"/>
      <c r="H74" s="48" t="s"/>
      <c r="I74" s="48" t="s"/>
      <c r="J74" s="48" t="s"/>
      <c r="K74" s="48" t="s"/>
      <c r="L74" s="48" t="s"/>
      <c r="M74" s="48" t="s"/>
      <c r="N74" s="48" t="s"/>
      <c r="O74" s="48" t="s"/>
      <c r="P74" s="48" t="s"/>
      <c r="Q74" s="48" t="s"/>
      <c r="R74" s="48" t="s"/>
      <c r="S74" s="48" t="s"/>
      <c r="T74" s="48" t="s"/>
      <c r="U74" s="48" t="s"/>
      <c r="V74" s="48" t="s"/>
      <c r="W74" s="48" t="s"/>
      <c r="X74" s="48" t="s"/>
      <c r="Y74" s="48" t="s"/>
      <c r="Z74" s="48" t="s"/>
      <c r="AA74" s="48" t="s"/>
      <c r="AB74" s="48" t="s"/>
      <c r="AC74" s="48" t="s"/>
      <c r="AD74" s="48" t="s"/>
      <c r="AE74" s="48" t="s"/>
    </row>
    <row r="75" spans="1:31" ht="21" customHeight="1">
      <c r="A75" s="48" t="s"/>
      <c r="B75" s="48" t="s"/>
      <c r="C75" s="48" t="s"/>
      <c r="D75" s="48" t="s"/>
      <c r="E75" s="50" t="s"/>
      <c r="F75" s="48" t="s"/>
      <c r="G75" s="48" t="s"/>
      <c r="H75" s="48" t="s"/>
      <c r="I75" s="48" t="s"/>
      <c r="J75" s="48" t="s"/>
      <c r="K75" s="48" t="s"/>
      <c r="L75" s="48" t="s"/>
      <c r="M75" s="48" t="s"/>
      <c r="N75" s="48" t="s"/>
      <c r="O75" s="48" t="s"/>
      <c r="P75" s="48" t="s"/>
      <c r="Q75" s="48" t="s"/>
      <c r="R75" s="48" t="s"/>
      <c r="S75" s="48" t="s"/>
      <c r="T75" s="48" t="s"/>
      <c r="U75" s="48" t="s"/>
      <c r="V75" s="48" t="s"/>
      <c r="W75" s="48" t="s"/>
      <c r="X75" s="48" t="s"/>
      <c r="Y75" s="48" t="s"/>
      <c r="Z75" s="48" t="s"/>
      <c r="AA75" s="48" t="s"/>
      <c r="AB75" s="48" t="s"/>
      <c r="AC75" s="48" t="s"/>
      <c r="AD75" s="48" t="s"/>
      <c r="AE75" s="48" t="s"/>
    </row>
    <row r="76" spans="1:31" ht="21" customHeight="1">
      <c r="A76" s="48" t="s"/>
      <c r="B76" s="48" t="s"/>
      <c r="C76" s="48" t="s"/>
      <c r="D76" s="48" t="s"/>
      <c r="E76" s="50" t="s"/>
      <c r="F76" s="48" t="s"/>
      <c r="G76" s="48" t="s"/>
      <c r="H76" s="48" t="s"/>
      <c r="I76" s="48" t="s"/>
      <c r="J76" s="48" t="s"/>
      <c r="K76" s="48" t="s"/>
      <c r="L76" s="48" t="s"/>
      <c r="M76" s="48" t="s"/>
      <c r="N76" s="48" t="s"/>
      <c r="O76" s="48" t="s"/>
      <c r="P76" s="48" t="s"/>
      <c r="Q76" s="48" t="s"/>
      <c r="R76" s="48" t="s"/>
      <c r="S76" s="48" t="s"/>
      <c r="T76" s="48" t="s"/>
      <c r="U76" s="48" t="s"/>
      <c r="V76" s="48" t="s"/>
      <c r="W76" s="48" t="s"/>
      <c r="X76" s="48" t="s"/>
      <c r="Y76" s="48" t="s"/>
      <c r="Z76" s="48" t="s"/>
      <c r="AA76" s="48" t="s"/>
      <c r="AB76" s="48" t="s"/>
      <c r="AC76" s="48" t="s"/>
      <c r="AD76" s="48" t="s"/>
      <c r="AE76" s="48" t="s"/>
    </row>
    <row r="77" spans="1:31" ht="21" customHeight="1">
      <c r="A77" s="48" t="s"/>
      <c r="B77" s="48" t="s"/>
      <c r="C77" s="48" t="s"/>
      <c r="D77" s="48" t="s"/>
      <c r="E77" s="50" t="s"/>
      <c r="F77" s="48" t="s"/>
      <c r="G77" s="48" t="s"/>
      <c r="H77" s="48" t="s"/>
      <c r="I77" s="48" t="s"/>
      <c r="J77" s="48" t="s"/>
      <c r="K77" s="48" t="s"/>
      <c r="L77" s="48" t="s"/>
      <c r="M77" s="48" t="s"/>
      <c r="N77" s="48" t="s"/>
      <c r="O77" s="48" t="s"/>
      <c r="P77" s="48" t="s"/>
      <c r="Q77" s="48" t="s"/>
      <c r="R77" s="48" t="s"/>
      <c r="S77" s="48" t="s"/>
      <c r="T77" s="48" t="s"/>
      <c r="U77" s="48" t="s"/>
      <c r="V77" s="48" t="s"/>
      <c r="W77" s="48" t="s"/>
      <c r="X77" s="48" t="s"/>
      <c r="Y77" s="48" t="s"/>
      <c r="Z77" s="48" t="s"/>
      <c r="AA77" s="48" t="s"/>
      <c r="AB77" s="48" t="s"/>
      <c r="AC77" s="48" t="s"/>
      <c r="AD77" s="48" t="s"/>
      <c r="AE77" s="48" t="s"/>
    </row>
    <row r="78" spans="1:31" ht="21" customHeight="1">
      <c r="A78" s="48" t="s"/>
      <c r="B78" s="48" t="s"/>
      <c r="C78" s="48" t="s"/>
      <c r="D78" s="48" t="s"/>
      <c r="E78" s="50" t="s"/>
      <c r="F78" s="48" t="s"/>
      <c r="G78" s="48" t="s"/>
      <c r="H78" s="48" t="s"/>
      <c r="I78" s="48" t="s"/>
      <c r="J78" s="48" t="s"/>
      <c r="K78" s="48" t="s"/>
      <c r="L78" s="48" t="s"/>
      <c r="M78" s="48" t="s"/>
      <c r="N78" s="48" t="s"/>
      <c r="O78" s="48" t="s"/>
      <c r="P78" s="48" t="s"/>
      <c r="Q78" s="48" t="s"/>
      <c r="R78" s="48" t="s"/>
      <c r="S78" s="48" t="s"/>
      <c r="T78" s="48" t="s"/>
      <c r="U78" s="48" t="s"/>
      <c r="V78" s="48" t="s"/>
      <c r="W78" s="48" t="s"/>
      <c r="X78" s="48" t="s"/>
      <c r="Y78" s="48" t="s"/>
      <c r="Z78" s="48" t="s"/>
      <c r="AA78" s="48" t="s"/>
      <c r="AB78" s="48" t="s"/>
      <c r="AC78" s="48" t="s"/>
      <c r="AD78" s="48" t="s"/>
      <c r="AE78" s="48" t="s"/>
    </row>
    <row r="79" spans="1:31" ht="21" customHeight="1">
      <c r="A79" s="48" t="s"/>
      <c r="B79" s="48" t="s"/>
      <c r="C79" s="48" t="s"/>
      <c r="D79" s="48" t="s"/>
      <c r="E79" s="50" t="s"/>
      <c r="F79" s="48" t="s"/>
      <c r="G79" s="48" t="s"/>
      <c r="H79" s="48" t="s"/>
      <c r="I79" s="48" t="s"/>
      <c r="J79" s="48" t="s"/>
      <c r="K79" s="48" t="s"/>
      <c r="L79" s="48" t="s"/>
      <c r="M79" s="48" t="s"/>
      <c r="N79" s="48" t="s"/>
      <c r="O79" s="48" t="s"/>
      <c r="P79" s="48" t="s"/>
      <c r="Q79" s="48" t="s"/>
      <c r="R79" s="48" t="s"/>
      <c r="S79" s="48" t="s"/>
      <c r="T79" s="48" t="s"/>
      <c r="U79" s="48" t="s"/>
      <c r="V79" s="48" t="s"/>
      <c r="W79" s="48" t="s"/>
      <c r="X79" s="48" t="s"/>
      <c r="Y79" s="48" t="s"/>
      <c r="Z79" s="48" t="s"/>
      <c r="AA79" s="48" t="s"/>
      <c r="AB79" s="48" t="s"/>
      <c r="AC79" s="48" t="s"/>
      <c r="AD79" s="48" t="s"/>
      <c r="AE79" s="48" t="s"/>
    </row>
    <row r="80" spans="1:31" ht="21" customHeight="1">
      <c r="A80" s="48" t="s"/>
      <c r="B80" s="48" t="s"/>
      <c r="C80" s="48" t="s"/>
      <c r="D80" s="48" t="s"/>
      <c r="E80" s="50" t="s"/>
      <c r="F80" s="48" t="s"/>
      <c r="G80" s="48" t="s"/>
      <c r="H80" s="48" t="s"/>
      <c r="I80" s="48" t="s"/>
      <c r="J80" s="48" t="s"/>
      <c r="K80" s="48" t="s"/>
      <c r="L80" s="48" t="s"/>
      <c r="M80" s="48" t="s"/>
      <c r="N80" s="48" t="s"/>
      <c r="O80" s="48" t="s"/>
      <c r="P80" s="48" t="s"/>
      <c r="Q80" s="48" t="s"/>
      <c r="R80" s="48" t="s"/>
      <c r="S80" s="48" t="s"/>
      <c r="T80" s="48" t="s"/>
      <c r="U80" s="48" t="s"/>
      <c r="V80" s="48" t="s"/>
      <c r="W80" s="48" t="s"/>
      <c r="X80" s="48" t="s"/>
      <c r="Y80" s="48" t="s"/>
      <c r="Z80" s="48" t="s"/>
      <c r="AA80" s="48" t="s"/>
      <c r="AB80" s="48" t="s"/>
      <c r="AC80" s="48" t="s"/>
      <c r="AD80" s="48" t="s"/>
      <c r="AE80" s="48" t="s"/>
    </row>
    <row r="81" spans="1:31" ht="21" customHeight="1">
      <c r="A81" s="48" t="s"/>
      <c r="B81" s="48" t="s"/>
      <c r="C81" s="48" t="s"/>
      <c r="D81" s="48" t="s"/>
      <c r="E81" s="50" t="s"/>
      <c r="F81" s="48" t="s"/>
      <c r="G81" s="48" t="s"/>
      <c r="H81" s="48" t="s"/>
      <c r="I81" s="48" t="s"/>
      <c r="J81" s="48" t="s"/>
      <c r="K81" s="48" t="s"/>
      <c r="L81" s="48" t="s"/>
      <c r="M81" s="48" t="s"/>
      <c r="N81" s="48" t="s"/>
      <c r="O81" s="48" t="s"/>
      <c r="P81" s="48" t="s"/>
      <c r="Q81" s="48" t="s"/>
      <c r="R81" s="48" t="s"/>
      <c r="S81" s="48" t="s"/>
      <c r="T81" s="48" t="s"/>
      <c r="U81" s="48" t="s"/>
      <c r="V81" s="48" t="s"/>
      <c r="W81" s="48" t="s"/>
      <c r="X81" s="48" t="s"/>
      <c r="Y81" s="48" t="s"/>
      <c r="Z81" s="48" t="s"/>
      <c r="AA81" s="48" t="s"/>
      <c r="AB81" s="48" t="s"/>
      <c r="AC81" s="48" t="s"/>
      <c r="AD81" s="48" t="s"/>
      <c r="AE81" s="48" t="s"/>
    </row>
    <row r="82" spans="1:31" ht="21" customHeight="1">
      <c r="A82" s="48" t="s"/>
      <c r="B82" s="48" t="s"/>
      <c r="C82" s="48" t="s"/>
      <c r="D82" s="48" t="s"/>
      <c r="E82" s="50" t="s"/>
      <c r="F82" s="48" t="s"/>
      <c r="G82" s="48" t="s"/>
      <c r="H82" s="48" t="s"/>
      <c r="I82" s="48" t="s"/>
      <c r="J82" s="48" t="s"/>
      <c r="K82" s="48" t="s"/>
      <c r="L82" s="48" t="s"/>
      <c r="M82" s="48" t="s"/>
      <c r="N82" s="48" t="s"/>
      <c r="O82" s="48" t="s"/>
      <c r="P82" s="48" t="s"/>
      <c r="Q82" s="48" t="s"/>
      <c r="R82" s="48" t="s"/>
      <c r="S82" s="48" t="s"/>
      <c r="T82" s="48" t="s"/>
      <c r="U82" s="48" t="s"/>
      <c r="V82" s="48" t="s"/>
      <c r="W82" s="48" t="s"/>
      <c r="X82" s="48" t="s"/>
      <c r="Y82" s="48" t="s"/>
      <c r="Z82" s="48" t="s"/>
      <c r="AA82" s="48" t="s"/>
      <c r="AB82" s="48" t="s"/>
      <c r="AC82" s="48" t="s"/>
      <c r="AD82" s="48" t="s"/>
      <c r="AE82" s="48" t="s"/>
    </row>
    <row r="83" spans="1:31" ht="21" customHeight="1">
      <c r="A83" s="48" t="s"/>
      <c r="B83" s="48" t="s"/>
      <c r="C83" s="48" t="s"/>
      <c r="D83" s="48" t="s"/>
      <c r="E83" s="50" t="s"/>
      <c r="F83" s="48" t="s"/>
      <c r="G83" s="48" t="s"/>
      <c r="H83" s="48" t="s"/>
      <c r="I83" s="48" t="s"/>
      <c r="J83" s="48" t="s"/>
      <c r="K83" s="48" t="s"/>
      <c r="L83" s="48" t="s"/>
      <c r="M83" s="48" t="s"/>
      <c r="N83" s="48" t="s"/>
      <c r="O83" s="48" t="s"/>
      <c r="P83" s="48" t="s"/>
      <c r="Q83" s="48" t="s"/>
      <c r="R83" s="48" t="s"/>
      <c r="S83" s="48" t="s"/>
      <c r="T83" s="48" t="s"/>
      <c r="U83" s="48" t="s"/>
      <c r="V83" s="48" t="s"/>
      <c r="W83" s="48" t="s"/>
      <c r="X83" s="48" t="s"/>
      <c r="Y83" s="48" t="s"/>
      <c r="Z83" s="48" t="s"/>
      <c r="AA83" s="48" t="s"/>
      <c r="AB83" s="48" t="s"/>
      <c r="AC83" s="48" t="s"/>
      <c r="AD83" s="48" t="s"/>
      <c r="AE83" s="48" t="s"/>
    </row>
    <row r="84" spans="1:31" ht="21" customHeight="1">
      <c r="A84" s="48" t="s"/>
      <c r="B84" s="48" t="s"/>
      <c r="C84" s="48" t="s"/>
      <c r="D84" s="48" t="s"/>
      <c r="E84" s="50" t="s"/>
      <c r="F84" s="48" t="s"/>
      <c r="G84" s="48" t="s"/>
      <c r="H84" s="48" t="s"/>
      <c r="I84" s="48" t="s"/>
      <c r="J84" s="48" t="s"/>
      <c r="K84" s="48" t="s"/>
      <c r="L84" s="48" t="s"/>
      <c r="M84" s="48" t="s"/>
      <c r="N84" s="48" t="s"/>
      <c r="O84" s="48" t="s"/>
      <c r="P84" s="48" t="s"/>
      <c r="Q84" s="48" t="s"/>
      <c r="R84" s="48" t="s"/>
      <c r="S84" s="48" t="s"/>
      <c r="T84" s="48" t="s"/>
      <c r="U84" s="48" t="s"/>
      <c r="V84" s="48" t="s"/>
      <c r="W84" s="48" t="s"/>
      <c r="X84" s="48" t="s"/>
      <c r="Y84" s="48" t="s"/>
      <c r="Z84" s="48" t="s"/>
      <c r="AA84" s="48" t="s"/>
      <c r="AB84" s="48" t="s"/>
      <c r="AC84" s="48" t="s"/>
      <c r="AD84" s="48" t="s"/>
      <c r="AE84" s="48" t="s"/>
    </row>
    <row r="85" spans="1:31" ht="21" customHeight="1">
      <c r="A85" s="48" t="s"/>
      <c r="B85" s="48" t="s"/>
      <c r="C85" s="48" t="s"/>
      <c r="D85" s="48" t="s"/>
      <c r="E85" s="50" t="s"/>
      <c r="F85" s="48" t="s"/>
      <c r="G85" s="48" t="s"/>
      <c r="H85" s="48" t="s"/>
      <c r="I85" s="48" t="s"/>
      <c r="J85" s="48" t="s"/>
      <c r="K85" s="48" t="s"/>
      <c r="L85" s="48" t="s"/>
      <c r="M85" s="48" t="s"/>
      <c r="N85" s="48" t="s"/>
      <c r="O85" s="48" t="s"/>
      <c r="P85" s="48" t="s"/>
      <c r="Q85" s="48" t="s"/>
      <c r="R85" s="48" t="s"/>
      <c r="S85" s="48" t="s"/>
      <c r="T85" s="48" t="s"/>
      <c r="U85" s="48" t="s"/>
      <c r="V85" s="48" t="s"/>
      <c r="W85" s="48" t="s"/>
      <c r="X85" s="48" t="s"/>
      <c r="Y85" s="48" t="s"/>
      <c r="Z85" s="48" t="s"/>
      <c r="AA85" s="48" t="s"/>
      <c r="AB85" s="48" t="s"/>
      <c r="AC85" s="48" t="s"/>
      <c r="AD85" s="48" t="s"/>
      <c r="AE85" s="48" t="s"/>
    </row>
    <row r="86" spans="1:31" ht="21" customHeight="1">
      <c r="A86" s="48" t="s"/>
      <c r="B86" s="48" t="s"/>
      <c r="C86" s="48" t="s"/>
      <c r="D86" s="48" t="s"/>
      <c r="E86" s="50" t="s"/>
      <c r="F86" s="48" t="s"/>
      <c r="G86" s="48" t="s"/>
      <c r="H86" s="48" t="s"/>
      <c r="I86" s="48" t="s"/>
      <c r="J86" s="48" t="s"/>
      <c r="K86" s="48" t="s"/>
      <c r="L86" s="48" t="s"/>
      <c r="M86" s="48" t="s"/>
      <c r="N86" s="48" t="s"/>
      <c r="O86" s="48" t="s"/>
      <c r="P86" s="48" t="s"/>
      <c r="Q86" s="48" t="s"/>
      <c r="R86" s="48" t="s"/>
      <c r="S86" s="48" t="s"/>
      <c r="T86" s="48" t="s"/>
      <c r="U86" s="48" t="s"/>
      <c r="V86" s="48" t="s"/>
      <c r="W86" s="48" t="s"/>
      <c r="X86" s="48" t="s"/>
      <c r="Y86" s="48" t="s"/>
      <c r="Z86" s="48" t="s"/>
      <c r="AA86" s="48" t="s"/>
      <c r="AB86" s="48" t="s"/>
      <c r="AC86" s="48" t="s"/>
      <c r="AD86" s="48" t="s"/>
      <c r="AE86" s="48" t="s"/>
    </row>
    <row r="87" spans="2:13">
      <c r="B87" s="48" t="s"/>
      <c r="C87" s="48" t="s"/>
      <c r="D87" s="48" t="s"/>
      <c r="E87" s="50" t="s"/>
      <c r="F87" s="48" t="s"/>
      <c r="G87" s="48" t="s"/>
      <c r="H87" s="48" t="s"/>
      <c r="I87" s="48" t="s"/>
      <c r="J87" s="48" t="s"/>
      <c r="K87" s="48" t="s"/>
      <c r="L87" s="48" t="s"/>
      <c r="M87" s="48" t="s"/>
    </row>
    <row r="88" spans="2:13">
      <c r="B88" s="48" t="s"/>
      <c r="C88" s="48" t="s"/>
      <c r="D88" s="48" t="s"/>
      <c r="E88" s="50" t="s"/>
      <c r="F88" s="48" t="s"/>
      <c r="G88" s="48" t="s"/>
      <c r="H88" s="48" t="s"/>
      <c r="I88" s="48" t="s"/>
      <c r="J88" s="48" t="s"/>
      <c r="K88" s="48" t="s"/>
      <c r="L88" s="48" t="s"/>
      <c r="M88" s="48" t="s"/>
    </row>
    <row r="89" spans="2:13">
      <c r="B89" s="48" t="s"/>
      <c r="C89" s="48" t="s"/>
      <c r="D89" s="48" t="s"/>
      <c r="E89" s="50" t="s"/>
      <c r="F89" s="48" t="s"/>
      <c r="G89" s="48" t="s"/>
      <c r="H89" s="48" t="s"/>
      <c r="I89" s="48" t="s"/>
      <c r="J89" s="48" t="s"/>
      <c r="K89" s="48" t="s"/>
      <c r="L89" s="48" t="s"/>
      <c r="M89" s="48" t="s"/>
    </row>
    <row r="90" spans="2:13">
      <c r="B90" s="48" t="s"/>
      <c r="C90" s="48" t="s"/>
      <c r="D90" s="48" t="s"/>
      <c r="E90" s="50" t="s"/>
      <c r="F90" s="48" t="s"/>
      <c r="G90" s="48" t="s"/>
      <c r="H90" s="48" t="s"/>
      <c r="I90" s="48" t="s"/>
      <c r="J90" s="48" t="s"/>
      <c r="K90" s="48" t="s"/>
      <c r="L90" s="48" t="s"/>
      <c r="M90" s="48" t="s"/>
    </row>
    <row r="91" spans="2:13">
      <c r="B91" s="48" t="s"/>
      <c r="C91" s="48" t="s"/>
      <c r="D91" s="48" t="s"/>
      <c r="E91" s="78" t="s"/>
      <c r="F91" s="48" t="s"/>
      <c r="G91" s="48" t="s"/>
      <c r="H91" s="48" t="s"/>
      <c r="I91" s="48" t="s"/>
      <c r="J91" s="48" t="s"/>
      <c r="K91" s="48" t="s"/>
      <c r="L91" s="48" t="s"/>
      <c r="M91" s="48" t="s"/>
    </row>
    <row r="92" spans="2:13">
      <c r="B92" s="48" t="s"/>
      <c r="C92" s="48" t="s"/>
      <c r="D92" s="48" t="s"/>
      <c r="E92" s="78" t="s"/>
      <c r="F92" s="48" t="s"/>
      <c r="G92" s="48" t="s"/>
      <c r="H92" s="48" t="s"/>
      <c r="I92" s="48" t="s"/>
      <c r="J92" s="48" t="s"/>
      <c r="K92" s="48" t="s"/>
      <c r="L92" s="48" t="s"/>
      <c r="M92" s="48" t="s"/>
    </row>
    <row r="93" spans="2:13">
      <c r="B93" s="48" t="s"/>
      <c r="C93" s="48" t="s"/>
      <c r="D93" s="48" t="s"/>
      <c r="E93" s="78" t="s"/>
      <c r="F93" s="48" t="s"/>
      <c r="G93" s="48" t="s"/>
      <c r="H93" s="48" t="s"/>
      <c r="I93" s="48" t="s"/>
      <c r="J93" s="48" t="s"/>
      <c r="K93" s="48" t="s"/>
      <c r="L93" s="48" t="s"/>
      <c r="M93" s="48" t="s"/>
    </row>
    <row r="94" spans="2:13">
      <c r="B94" s="48" t="s"/>
      <c r="C94" s="48" t="s"/>
      <c r="D94" s="48" t="s"/>
      <c r="E94" s="78" t="s"/>
      <c r="F94" s="48" t="s"/>
      <c r="G94" s="48" t="s"/>
      <c r="H94" s="48" t="s"/>
      <c r="I94" s="48" t="s"/>
      <c r="J94" s="48" t="s"/>
      <c r="K94" s="48" t="s"/>
      <c r="L94" s="48" t="s"/>
      <c r="M94" s="48" t="s"/>
    </row>
    <row r="95" spans="2:13">
      <c r="B95" s="48" t="s"/>
      <c r="C95" s="48" t="s"/>
      <c r="D95" s="48" t="s"/>
      <c r="E95" s="78" t="s"/>
      <c r="F95" s="48" t="s"/>
      <c r="G95" s="48" t="s"/>
      <c r="H95" s="48" t="s"/>
      <c r="I95" s="48" t="s"/>
      <c r="J95" s="48" t="s"/>
      <c r="K95" s="48" t="s"/>
      <c r="L95" s="48" t="s"/>
      <c r="M95" s="48" t="s"/>
    </row>
    <row r="96" spans="2:13">
      <c r="B96" s="48" t="s"/>
      <c r="C96" s="48" t="s"/>
      <c r="D96" s="48" t="s"/>
      <c r="E96" s="78" t="s"/>
      <c r="F96" s="48" t="s"/>
      <c r="G96" s="48" t="s"/>
      <c r="H96" s="48" t="s"/>
      <c r="I96" s="48" t="s"/>
      <c r="J96" s="48" t="s"/>
      <c r="K96" s="48" t="s"/>
      <c r="L96" s="48" t="s"/>
      <c r="M96" s="48" t="s"/>
    </row>
    <row r="97" spans="2:13">
      <c r="B97" s="48" t="s"/>
      <c r="C97" s="48" t="s"/>
      <c r="D97" s="48" t="s"/>
      <c r="E97" s="78" t="s"/>
      <c r="F97" s="48" t="s"/>
      <c r="G97" s="48" t="s"/>
      <c r="H97" s="48" t="s"/>
      <c r="I97" s="48" t="s"/>
      <c r="J97" s="48" t="s"/>
      <c r="K97" s="48" t="s"/>
      <c r="L97" s="48" t="s"/>
      <c r="M97" s="48" t="s"/>
    </row>
    <row r="98" spans="2:13">
      <c r="B98" s="48" t="s"/>
      <c r="C98" s="48" t="s"/>
      <c r="D98" s="48" t="s"/>
      <c r="E98" s="78" t="s"/>
      <c r="F98" s="48" t="s"/>
      <c r="G98" s="48" t="s"/>
      <c r="H98" s="48" t="s"/>
      <c r="I98" s="48" t="s"/>
      <c r="J98" s="48" t="s"/>
      <c r="K98" s="48" t="s"/>
      <c r="L98" s="48" t="s"/>
      <c r="M98" s="48" t="s"/>
    </row>
    <row r="99" spans="2:13">
      <c r="B99" s="48" t="s"/>
      <c r="C99" s="48" t="s"/>
      <c r="D99" s="48" t="s"/>
      <c r="E99" s="78" t="s"/>
      <c r="F99" s="48" t="s"/>
      <c r="G99" s="48" t="s"/>
      <c r="H99" s="48" t="s"/>
      <c r="I99" s="48" t="s"/>
      <c r="J99" s="48" t="s"/>
      <c r="K99" s="48" t="s"/>
      <c r="L99" s="48" t="s"/>
      <c r="M99" s="48" t="s"/>
    </row>
    <row r="100" spans="2:13">
      <c r="B100" s="48" t="s"/>
      <c r="C100" s="48" t="s"/>
      <c r="D100" s="48" t="s"/>
      <c r="E100" s="78" t="s"/>
      <c r="F100" s="48" t="s"/>
      <c r="G100" s="48" t="s"/>
      <c r="H100" s="48" t="s"/>
      <c r="I100" s="48" t="s"/>
      <c r="J100" s="48" t="s"/>
      <c r="K100" s="48" t="s"/>
      <c r="L100" s="48" t="s"/>
      <c r="M100" s="48" t="s"/>
    </row>
    <row r="101" spans="2:13">
      <c r="B101" s="48" t="s"/>
      <c r="C101" s="48" t="s"/>
      <c r="D101" s="48" t="s"/>
      <c r="E101" s="78" t="s"/>
      <c r="F101" s="48" t="s"/>
      <c r="G101" s="48" t="s"/>
      <c r="H101" s="48" t="s"/>
      <c r="I101" s="48" t="s"/>
      <c r="J101" s="48" t="s"/>
      <c r="K101" s="48" t="s"/>
      <c r="L101" s="48" t="s"/>
      <c r="M101" s="48" t="s"/>
    </row>
    <row r="102" spans="2:13">
      <c r="B102" s="48" t="s"/>
      <c r="C102" s="48" t="s"/>
      <c r="D102" s="48" t="s"/>
      <c r="E102" s="78" t="s"/>
      <c r="F102" s="48" t="s"/>
      <c r="G102" s="48" t="s"/>
      <c r="H102" s="48" t="s"/>
      <c r="I102" s="48" t="s"/>
      <c r="J102" s="48" t="s"/>
      <c r="K102" s="48" t="s"/>
      <c r="L102" s="48" t="s"/>
      <c r="M102" s="48" t="s"/>
    </row>
    <row r="103" spans="2:13">
      <c r="B103" s="48" t="s"/>
      <c r="C103" s="48" t="s"/>
      <c r="D103" s="48" t="s"/>
      <c r="E103" s="78" t="s"/>
      <c r="F103" s="48" t="s"/>
      <c r="G103" s="48" t="s"/>
      <c r="H103" s="48" t="s"/>
      <c r="I103" s="48" t="s"/>
      <c r="J103" s="48" t="s"/>
      <c r="K103" s="48" t="s"/>
      <c r="L103" s="48" t="s"/>
      <c r="M103" s="48" t="s"/>
    </row>
    <row r="104" spans="2:13">
      <c r="B104" s="48" t="s"/>
      <c r="C104" s="48" t="s"/>
      <c r="D104" s="48" t="s"/>
      <c r="E104" s="78" t="s"/>
      <c r="F104" s="48" t="s"/>
      <c r="G104" s="48" t="s"/>
      <c r="H104" s="48" t="s"/>
      <c r="I104" s="48" t="s"/>
      <c r="J104" s="48" t="s"/>
      <c r="K104" s="48" t="s"/>
      <c r="L104" s="48" t="s"/>
      <c r="M104" s="48" t="s"/>
    </row>
    <row r="105" spans="2:13">
      <c r="B105" s="48" t="s"/>
      <c r="C105" s="48" t="s"/>
      <c r="D105" s="48" t="s"/>
      <c r="E105" s="78" t="s"/>
      <c r="F105" s="48" t="s"/>
      <c r="G105" s="48" t="s"/>
      <c r="H105" s="48" t="s"/>
      <c r="I105" s="48" t="s"/>
      <c r="J105" s="48" t="s"/>
      <c r="K105" s="48" t="s"/>
      <c r="L105" s="48" t="s"/>
      <c r="M105" s="48" t="s"/>
    </row>
    <row r="106" spans="2:13">
      <c r="B106" s="48" t="s"/>
      <c r="C106" s="48" t="s"/>
      <c r="D106" s="48" t="s"/>
      <c r="E106" s="78" t="s"/>
      <c r="F106" s="48" t="s"/>
      <c r="G106" s="48" t="s"/>
      <c r="H106" s="48" t="s"/>
      <c r="I106" s="48" t="s"/>
      <c r="J106" s="48" t="s"/>
      <c r="K106" s="48" t="s"/>
      <c r="L106" s="48" t="s"/>
      <c r="M106" s="48" t="s"/>
    </row>
    <row r="107" spans="2:13">
      <c r="B107" s="48" t="s"/>
      <c r="C107" s="48" t="s"/>
      <c r="D107" s="48" t="s"/>
      <c r="E107" s="78" t="s"/>
      <c r="F107" s="48" t="s"/>
      <c r="G107" s="48" t="s"/>
      <c r="H107" s="48" t="s"/>
      <c r="I107" s="48" t="s"/>
      <c r="J107" s="48" t="s"/>
      <c r="K107" s="48" t="s"/>
      <c r="L107" s="48" t="s"/>
      <c r="M107" s="48" t="s"/>
    </row>
    <row r="108" spans="2:13">
      <c r="B108" s="48" t="s"/>
      <c r="C108" s="48" t="s"/>
      <c r="D108" s="48" t="s"/>
      <c r="E108" s="78" t="s"/>
      <c r="F108" s="48" t="s"/>
      <c r="G108" s="48" t="s"/>
      <c r="H108" s="48" t="s"/>
      <c r="I108" s="48" t="s"/>
      <c r="J108" s="48" t="s"/>
      <c r="K108" s="48" t="s"/>
      <c r="L108" s="48" t="s"/>
      <c r="M108" s="48" t="s"/>
    </row>
    <row r="109" spans="2:13">
      <c r="B109" s="48" t="s"/>
      <c r="C109" s="48" t="s"/>
      <c r="D109" s="48" t="s"/>
      <c r="E109" s="78" t="s"/>
      <c r="F109" s="48" t="s"/>
      <c r="G109" s="48" t="s"/>
      <c r="H109" s="48" t="s"/>
      <c r="I109" s="48" t="s"/>
      <c r="J109" s="48" t="s"/>
      <c r="K109" s="48" t="s"/>
      <c r="L109" s="48" t="s"/>
      <c r="M109" s="48" t="s"/>
    </row>
    <row r="110" spans="2:13">
      <c r="B110" s="48" t="s"/>
      <c r="C110" s="48" t="s"/>
      <c r="D110" s="48" t="s"/>
      <c r="E110" s="78" t="s"/>
      <c r="F110" s="48" t="s"/>
      <c r="G110" s="48" t="s"/>
      <c r="H110" s="48" t="s"/>
      <c r="I110" s="48" t="s"/>
      <c r="J110" s="48" t="s"/>
      <c r="K110" s="48" t="s"/>
      <c r="L110" s="48" t="s"/>
      <c r="M110" s="48" t="s"/>
    </row>
    <row r="111" spans="2:13">
      <c r="B111" s="48" t="s"/>
      <c r="C111" s="48" t="s"/>
      <c r="D111" s="48" t="s"/>
      <c r="E111" s="78" t="s"/>
      <c r="F111" s="48" t="s"/>
      <c r="G111" s="48" t="s"/>
      <c r="H111" s="48" t="s"/>
      <c r="I111" s="48" t="s"/>
      <c r="J111" s="48" t="s"/>
      <c r="K111" s="48" t="s"/>
      <c r="L111" s="48" t="s"/>
      <c r="M111" s="48" t="s"/>
    </row>
    <row r="112" spans="2:13">
      <c r="B112" s="48" t="s"/>
      <c r="C112" s="48" t="s"/>
      <c r="D112" s="48" t="s"/>
      <c r="E112" s="78" t="s"/>
      <c r="F112" s="48" t="s"/>
      <c r="G112" s="48" t="s"/>
      <c r="H112" s="48" t="s"/>
      <c r="I112" s="48" t="s"/>
      <c r="J112" s="48" t="s"/>
      <c r="K112" s="48" t="s"/>
      <c r="L112" s="48" t="s"/>
      <c r="M112" s="48" t="s"/>
    </row>
    <row r="113" spans="2:13">
      <c r="B113" s="48" t="s"/>
      <c r="C113" s="48" t="s"/>
      <c r="D113" s="48" t="s"/>
      <c r="E113" s="78" t="s"/>
      <c r="F113" s="48" t="s"/>
      <c r="G113" s="48" t="s"/>
      <c r="H113" s="48" t="s"/>
      <c r="I113" s="48" t="s"/>
      <c r="J113" s="48" t="s"/>
      <c r="K113" s="48" t="s"/>
      <c r="L113" s="48" t="s"/>
      <c r="M113" s="48" t="s"/>
    </row>
    <row r="114" spans="2:13">
      <c r="B114" s="48" t="s"/>
      <c r="C114" s="48" t="s"/>
      <c r="D114" s="48" t="s"/>
      <c r="E114" s="78" t="s"/>
      <c r="F114" s="48" t="s"/>
      <c r="G114" s="48" t="s"/>
      <c r="H114" s="48" t="s"/>
      <c r="I114" s="48" t="s"/>
      <c r="J114" s="48" t="s"/>
      <c r="K114" s="48" t="s"/>
      <c r="L114" s="48" t="s"/>
      <c r="M114" s="48" t="s"/>
    </row>
    <row r="115" spans="2:13">
      <c r="B115" s="48" t="s"/>
      <c r="C115" s="48" t="s"/>
      <c r="D115" s="48" t="s"/>
      <c r="E115" s="78" t="s"/>
      <c r="F115" s="48" t="s"/>
      <c r="G115" s="48" t="s"/>
      <c r="H115" s="48" t="s"/>
      <c r="I115" s="48" t="s"/>
      <c r="J115" s="48" t="s"/>
      <c r="K115" s="48" t="s"/>
      <c r="L115" s="48" t="s"/>
      <c r="M115" s="48" t="s"/>
    </row>
    <row r="116" spans="2:13">
      <c r="B116" s="48" t="s"/>
      <c r="C116" s="48" t="s"/>
      <c r="D116" s="48" t="s"/>
      <c r="E116" s="78" t="s"/>
      <c r="F116" s="48" t="s"/>
      <c r="G116" s="48" t="s"/>
      <c r="H116" s="48" t="s"/>
      <c r="I116" s="48" t="s"/>
      <c r="J116" s="48" t="s"/>
      <c r="K116" s="48" t="s"/>
      <c r="L116" s="48" t="s"/>
      <c r="M116" s="48" t="s"/>
    </row>
    <row r="117" spans="2:13">
      <c r="B117" s="48" t="s"/>
      <c r="C117" s="48" t="s"/>
      <c r="D117" s="48" t="s"/>
      <c r="E117" s="78" t="s"/>
      <c r="F117" s="48" t="s"/>
      <c r="G117" s="48" t="s"/>
      <c r="H117" s="48" t="s"/>
      <c r="I117" s="48" t="s"/>
      <c r="J117" s="48" t="s"/>
      <c r="K117" s="48" t="s"/>
      <c r="L117" s="48" t="s"/>
      <c r="M117" s="48" t="s"/>
    </row>
    <row r="118" spans="2:13">
      <c r="B118" s="48" t="s"/>
      <c r="C118" s="48" t="s"/>
      <c r="D118" s="48" t="s"/>
      <c r="E118" s="78" t="s"/>
      <c r="F118" s="48" t="s"/>
      <c r="G118" s="48" t="s"/>
      <c r="H118" s="48" t="s"/>
      <c r="I118" s="48" t="s"/>
      <c r="J118" s="48" t="s"/>
      <c r="K118" s="48" t="s"/>
      <c r="L118" s="48" t="s"/>
      <c r="M118" s="48" t="s"/>
    </row>
    <row r="119" spans="2:13">
      <c r="B119" s="48" t="s"/>
      <c r="C119" s="48" t="s"/>
      <c r="D119" s="48" t="s"/>
      <c r="E119" s="78" t="s"/>
      <c r="F119" s="48" t="s"/>
      <c r="G119" s="48" t="s"/>
      <c r="H119" s="48" t="s"/>
      <c r="I119" s="48" t="s"/>
      <c r="J119" s="48" t="s"/>
      <c r="K119" s="48" t="s"/>
      <c r="L119" s="48" t="s"/>
      <c r="M119" s="48" t="s"/>
    </row>
    <row r="120" spans="2:13">
      <c r="B120" s="48" t="s"/>
      <c r="C120" s="48" t="s"/>
      <c r="D120" s="48" t="s"/>
      <c r="E120" s="78" t="s"/>
      <c r="F120" s="48" t="s"/>
      <c r="G120" s="48" t="s"/>
      <c r="H120" s="48" t="s"/>
      <c r="I120" s="48" t="s"/>
      <c r="J120" s="48" t="s"/>
      <c r="K120" s="48" t="s"/>
      <c r="L120" s="48" t="s"/>
      <c r="M120" s="48" t="s"/>
    </row>
    <row r="121" spans="2:13">
      <c r="B121" s="48" t="s"/>
      <c r="C121" s="48" t="s"/>
      <c r="D121" s="48" t="s"/>
      <c r="E121" s="78" t="s"/>
      <c r="F121" s="48" t="s"/>
      <c r="G121" s="48" t="s"/>
      <c r="H121" s="48" t="s"/>
      <c r="I121" s="48" t="s"/>
      <c r="J121" s="48" t="s"/>
      <c r="K121" s="48" t="s"/>
      <c r="L121" s="48" t="s"/>
      <c r="M121" s="48" t="s"/>
    </row>
    <row r="122" spans="2:13">
      <c r="B122" s="48" t="s"/>
      <c r="C122" s="48" t="s"/>
      <c r="D122" s="48" t="s"/>
      <c r="E122" s="78" t="s"/>
      <c r="F122" s="48" t="s"/>
      <c r="G122" s="48" t="s"/>
      <c r="H122" s="48" t="s"/>
      <c r="I122" s="48" t="s"/>
      <c r="J122" s="48" t="s"/>
      <c r="K122" s="48" t="s"/>
      <c r="L122" s="48" t="s"/>
      <c r="M122" s="48" t="s"/>
    </row>
    <row r="123" spans="2:13">
      <c r="B123" s="48" t="s"/>
      <c r="C123" s="48" t="s"/>
      <c r="D123" s="48" t="s"/>
      <c r="E123" s="78" t="s"/>
      <c r="F123" s="48" t="s"/>
      <c r="G123" s="48" t="s"/>
      <c r="H123" s="48" t="s"/>
      <c r="I123" s="48" t="s"/>
      <c r="J123" s="48" t="s"/>
      <c r="K123" s="48" t="s"/>
      <c r="L123" s="48" t="s"/>
      <c r="M123" s="48" t="s"/>
    </row>
    <row r="124" spans="2:13">
      <c r="B124" s="48" t="s"/>
      <c r="C124" s="48" t="s"/>
      <c r="D124" s="48" t="s"/>
      <c r="E124" s="78" t="s"/>
      <c r="F124" s="48" t="s"/>
      <c r="G124" s="48" t="s"/>
      <c r="H124" s="48" t="s"/>
      <c r="I124" s="48" t="s"/>
      <c r="J124" s="48" t="s"/>
      <c r="K124" s="48" t="s"/>
      <c r="L124" s="48" t="s"/>
      <c r="M124" s="48" t="s"/>
    </row>
    <row r="125" spans="2:13">
      <c r="B125" s="48" t="s"/>
      <c r="C125" s="48" t="s"/>
      <c r="D125" s="48" t="s"/>
      <c r="E125" s="78" t="s"/>
      <c r="F125" s="48" t="s"/>
      <c r="G125" s="48" t="s"/>
      <c r="H125" s="48" t="s"/>
      <c r="I125" s="48" t="s"/>
      <c r="J125" s="48" t="s"/>
      <c r="K125" s="48" t="s"/>
      <c r="L125" s="48" t="s"/>
      <c r="M125" s="48" t="s"/>
    </row>
    <row r="126" spans="2:13">
      <c r="B126" s="48" t="s"/>
      <c r="C126" s="48" t="s"/>
      <c r="D126" s="48" t="s"/>
      <c r="E126" s="78" t="s"/>
      <c r="F126" s="48" t="s"/>
      <c r="G126" s="48" t="s"/>
      <c r="H126" s="48" t="s"/>
      <c r="I126" s="48" t="s"/>
      <c r="J126" s="48" t="s"/>
      <c r="K126" s="48" t="s"/>
      <c r="L126" s="48" t="s"/>
      <c r="M126" s="48" t="s"/>
    </row>
    <row r="127" spans="2:13">
      <c r="B127" s="48" t="s"/>
      <c r="C127" s="48" t="s"/>
      <c r="D127" s="48" t="s"/>
      <c r="E127" s="78" t="s"/>
      <c r="F127" s="48" t="s"/>
      <c r="G127" s="48" t="s"/>
      <c r="H127" s="48" t="s"/>
      <c r="I127" s="48" t="s"/>
      <c r="J127" s="48" t="s"/>
      <c r="K127" s="48" t="s"/>
      <c r="L127" s="48" t="s"/>
      <c r="M127" s="48" t="s"/>
    </row>
    <row r="128" spans="2:13">
      <c r="B128" s="48" t="s"/>
      <c r="C128" s="48" t="s"/>
      <c r="D128" s="48" t="s"/>
      <c r="E128" s="78" t="s"/>
      <c r="F128" s="48" t="s"/>
      <c r="G128" s="48" t="s"/>
      <c r="H128" s="48" t="s"/>
      <c r="I128" s="48" t="s"/>
      <c r="J128" s="48" t="s"/>
      <c r="K128" s="48" t="s"/>
      <c r="L128" s="48" t="s"/>
      <c r="M128" s="48" t="s"/>
    </row>
    <row r="129" spans="2:13">
      <c r="B129" s="48" t="s"/>
      <c r="C129" s="48" t="s"/>
      <c r="D129" s="48" t="s"/>
      <c r="E129" s="78" t="s"/>
      <c r="F129" s="48" t="s"/>
      <c r="G129" s="48" t="s"/>
      <c r="H129" s="48" t="s"/>
      <c r="I129" s="48" t="s"/>
      <c r="J129" s="48" t="s"/>
      <c r="K129" s="48" t="s"/>
      <c r="L129" s="48" t="s"/>
      <c r="M129" s="48" t="s"/>
    </row>
    <row r="130" spans="2:13">
      <c r="B130" s="48" t="s"/>
      <c r="C130" s="48" t="s"/>
      <c r="D130" s="48" t="s"/>
      <c r="E130" s="78" t="s"/>
      <c r="F130" s="48" t="s"/>
      <c r="G130" s="48" t="s"/>
      <c r="H130" s="48" t="s"/>
      <c r="I130" s="48" t="s"/>
      <c r="J130" s="48" t="s"/>
      <c r="K130" s="48" t="s"/>
      <c r="L130" s="48" t="s"/>
      <c r="M130" s="48" t="s"/>
    </row>
    <row r="131" spans="2:13">
      <c r="B131" s="48" t="s"/>
      <c r="C131" s="48" t="s"/>
      <c r="D131" s="48" t="s"/>
      <c r="E131" s="78" t="s"/>
      <c r="F131" s="48" t="s"/>
      <c r="G131" s="48" t="s"/>
      <c r="H131" s="48" t="s"/>
      <c r="I131" s="48" t="s"/>
      <c r="J131" s="48" t="s"/>
      <c r="K131" s="48" t="s"/>
      <c r="L131" s="48" t="s"/>
      <c r="M131" s="48" t="s"/>
    </row>
    <row r="132" spans="2:13">
      <c r="B132" s="48" t="s"/>
      <c r="C132" s="48" t="s"/>
      <c r="D132" s="48" t="s"/>
      <c r="E132" s="78" t="s"/>
      <c r="F132" s="48" t="s"/>
      <c r="G132" s="48" t="s"/>
      <c r="H132" s="48" t="s"/>
      <c r="I132" s="48" t="s"/>
      <c r="J132" s="48" t="s"/>
      <c r="K132" s="48" t="s"/>
      <c r="L132" s="48" t="s"/>
      <c r="M132" s="48" t="s"/>
    </row>
    <row r="133" spans="2:13">
      <c r="B133" s="48" t="s"/>
      <c r="C133" s="48" t="s"/>
      <c r="D133" s="48" t="s"/>
      <c r="E133" s="78" t="s"/>
      <c r="F133" s="48" t="s"/>
      <c r="G133" s="48" t="s"/>
      <c r="H133" s="48" t="s"/>
      <c r="I133" s="48" t="s"/>
      <c r="J133" s="48" t="s"/>
      <c r="K133" s="48" t="s"/>
      <c r="L133" s="48" t="s"/>
      <c r="M133" s="48" t="s"/>
    </row>
    <row r="134" spans="2:13">
      <c r="B134" s="48" t="s"/>
      <c r="C134" s="48" t="s"/>
      <c r="D134" s="48" t="s"/>
      <c r="E134" s="78" t="s"/>
      <c r="F134" s="48" t="s"/>
      <c r="G134" s="48" t="s"/>
      <c r="H134" s="48" t="s"/>
      <c r="I134" s="48" t="s"/>
      <c r="J134" s="48" t="s"/>
      <c r="K134" s="48" t="s"/>
      <c r="L134" s="48" t="s"/>
      <c r="M134" s="48" t="s"/>
    </row>
    <row r="135" spans="2:13">
      <c r="B135" s="48" t="s"/>
      <c r="C135" s="48" t="s"/>
      <c r="D135" s="48" t="s"/>
      <c r="E135" s="78" t="s"/>
      <c r="F135" s="48" t="s"/>
      <c r="G135" s="48" t="s"/>
      <c r="H135" s="48" t="s"/>
      <c r="I135" s="48" t="s"/>
      <c r="J135" s="48" t="s"/>
      <c r="K135" s="48" t="s"/>
      <c r="L135" s="48" t="s"/>
      <c r="M135" s="48" t="s"/>
    </row>
    <row r="136" spans="2:13">
      <c r="B136" s="48" t="s"/>
      <c r="C136" s="48" t="s"/>
      <c r="D136" s="48" t="s"/>
      <c r="E136" s="78" t="s"/>
      <c r="F136" s="48" t="s"/>
      <c r="G136" s="48" t="s"/>
      <c r="H136" s="48" t="s"/>
      <c r="I136" s="48" t="s"/>
      <c r="J136" s="48" t="s"/>
      <c r="K136" s="48" t="s"/>
      <c r="L136" s="48" t="s"/>
      <c r="M136" s="48" t="s"/>
    </row>
    <row r="137" spans="2:13">
      <c r="B137" s="48" t="s"/>
      <c r="C137" s="48" t="s"/>
      <c r="D137" s="48" t="s"/>
      <c r="E137" s="78" t="s"/>
      <c r="F137" s="48" t="s"/>
      <c r="G137" s="48" t="s"/>
      <c r="H137" s="48" t="s"/>
      <c r="I137" s="48" t="s"/>
      <c r="J137" s="48" t="s"/>
      <c r="K137" s="48" t="s"/>
      <c r="L137" s="48" t="s"/>
      <c r="M137" s="48" t="s"/>
    </row>
    <row r="138" spans="2:13">
      <c r="B138" s="48" t="s"/>
      <c r="C138" s="48" t="s"/>
      <c r="D138" s="48" t="s"/>
      <c r="E138" s="78" t="s"/>
      <c r="F138" s="48" t="s"/>
      <c r="G138" s="48" t="s"/>
      <c r="H138" s="48" t="s"/>
      <c r="I138" s="48" t="s"/>
      <c r="J138" s="48" t="s"/>
      <c r="K138" s="48" t="s"/>
      <c r="L138" s="48" t="s"/>
      <c r="M138" s="48" t="s"/>
    </row>
    <row r="139" spans="2:13">
      <c r="B139" s="48" t="s"/>
      <c r="C139" s="48" t="s"/>
      <c r="D139" s="48" t="s"/>
      <c r="E139" s="78" t="s"/>
      <c r="F139" s="48" t="s"/>
      <c r="G139" s="48" t="s"/>
      <c r="H139" s="48" t="s"/>
      <c r="I139" s="48" t="s"/>
      <c r="J139" s="48" t="s"/>
      <c r="K139" s="48" t="s"/>
      <c r="L139" s="48" t="s"/>
      <c r="M139" s="48" t="s"/>
    </row>
    <row r="140" spans="2:13">
      <c r="B140" s="48" t="s"/>
      <c r="C140" s="48" t="s"/>
      <c r="D140" s="48" t="s"/>
      <c r="E140" s="78" t="s"/>
      <c r="F140" s="48" t="s"/>
      <c r="G140" s="48" t="s"/>
      <c r="H140" s="48" t="s"/>
      <c r="I140" s="48" t="s"/>
      <c r="J140" s="48" t="s"/>
      <c r="K140" s="48" t="s"/>
      <c r="L140" s="48" t="s"/>
      <c r="M140" s="48" t="s"/>
    </row>
    <row r="141" spans="2:13">
      <c r="B141" s="48" t="s"/>
      <c r="C141" s="48" t="s"/>
      <c r="D141" s="48" t="s"/>
      <c r="E141" s="78" t="s"/>
      <c r="F141" s="48" t="s"/>
      <c r="G141" s="48" t="s"/>
      <c r="H141" s="48" t="s"/>
      <c r="I141" s="48" t="s"/>
      <c r="J141" s="48" t="s"/>
      <c r="K141" s="48" t="s"/>
      <c r="L141" s="48" t="s"/>
      <c r="M141" s="48" t="s"/>
    </row>
    <row r="142" spans="2:13">
      <c r="B142" s="48" t="s"/>
      <c r="C142" s="48" t="s"/>
      <c r="D142" s="48" t="s"/>
      <c r="E142" s="78" t="s"/>
      <c r="F142" s="48" t="s"/>
      <c r="G142" s="48" t="s"/>
      <c r="H142" s="48" t="s"/>
      <c r="I142" s="48" t="s"/>
      <c r="J142" s="48" t="s"/>
      <c r="K142" s="48" t="s"/>
      <c r="L142" s="48" t="s"/>
      <c r="M142" s="48" t="s"/>
    </row>
    <row r="143" spans="2:13">
      <c r="B143" s="48" t="s"/>
      <c r="C143" s="48" t="s"/>
      <c r="D143" s="48" t="s"/>
      <c r="E143" s="78" t="s"/>
      <c r="F143" s="48" t="s"/>
      <c r="G143" s="48" t="s"/>
      <c r="H143" s="48" t="s"/>
      <c r="I143" s="48" t="s"/>
      <c r="J143" s="48" t="s"/>
      <c r="K143" s="48" t="s"/>
      <c r="L143" s="48" t="s"/>
      <c r="M143" s="48" t="s"/>
    </row>
    <row r="144" spans="2:13">
      <c r="B144" s="48" t="s"/>
      <c r="C144" s="48" t="s"/>
      <c r="D144" s="48" t="s"/>
      <c r="E144" s="78" t="s"/>
      <c r="F144" s="48" t="s"/>
      <c r="G144" s="48" t="s"/>
      <c r="H144" s="48" t="s"/>
      <c r="I144" s="48" t="s"/>
      <c r="J144" s="48" t="s"/>
      <c r="K144" s="48" t="s"/>
      <c r="L144" s="48" t="s"/>
      <c r="M144" s="48" t="s"/>
    </row>
    <row r="145" spans="2:13">
      <c r="B145" s="48" t="s"/>
      <c r="C145" s="48" t="s"/>
      <c r="D145" s="48" t="s"/>
      <c r="E145" s="78" t="s"/>
      <c r="F145" s="48" t="s"/>
      <c r="G145" s="48" t="s"/>
      <c r="H145" s="48" t="s"/>
      <c r="I145" s="48" t="s"/>
      <c r="J145" s="48" t="s"/>
      <c r="K145" s="48" t="s"/>
      <c r="L145" s="48" t="s"/>
      <c r="M145" s="48" t="s"/>
    </row>
    <row r="146" spans="2:13">
      <c r="B146" s="48" t="s"/>
      <c r="C146" s="48" t="s"/>
      <c r="D146" s="48" t="s"/>
      <c r="E146" s="78" t="s"/>
      <c r="F146" s="48" t="s"/>
      <c r="G146" s="48" t="s"/>
      <c r="H146" s="48" t="s"/>
      <c r="I146" s="48" t="s"/>
      <c r="J146" s="48" t="s"/>
      <c r="K146" s="48" t="s"/>
      <c r="L146" s="48" t="s"/>
      <c r="M146" s="48" t="s"/>
    </row>
    <row r="147" spans="2:13">
      <c r="B147" s="48" t="s"/>
      <c r="C147" s="48" t="s"/>
      <c r="D147" s="48" t="s"/>
      <c r="E147" s="78" t="s"/>
      <c r="F147" s="48" t="s"/>
      <c r="G147" s="48" t="s"/>
      <c r="H147" s="48" t="s"/>
      <c r="I147" s="48" t="s"/>
      <c r="J147" s="48" t="s"/>
      <c r="K147" s="48" t="s"/>
      <c r="L147" s="48" t="s"/>
      <c r="M147" s="48" t="s"/>
    </row>
    <row r="148" spans="2:13">
      <c r="B148" s="48" t="s"/>
      <c r="C148" s="48" t="s"/>
      <c r="D148" s="48" t="s"/>
      <c r="E148" s="78" t="s"/>
      <c r="F148" s="48" t="s"/>
      <c r="G148" s="48" t="s"/>
      <c r="H148" s="48" t="s"/>
      <c r="I148" s="48" t="s"/>
      <c r="J148" s="48" t="s"/>
      <c r="K148" s="48" t="s"/>
      <c r="L148" s="48" t="s"/>
      <c r="M148" s="48" t="s"/>
    </row>
    <row r="149" spans="2:13">
      <c r="B149" s="48" t="s"/>
      <c r="C149" s="48" t="s"/>
      <c r="D149" s="48" t="s"/>
      <c r="E149" s="78" t="s"/>
      <c r="F149" s="48" t="s"/>
      <c r="G149" s="48" t="s"/>
      <c r="H149" s="48" t="s"/>
      <c r="I149" s="48" t="s"/>
      <c r="J149" s="48" t="s"/>
      <c r="K149" s="48" t="s"/>
      <c r="L149" s="48" t="s"/>
      <c r="M149" s="48" t="s"/>
    </row>
    <row r="150" spans="2:13">
      <c r="B150" s="48" t="s"/>
      <c r="C150" s="48" t="s"/>
      <c r="D150" s="48" t="s"/>
      <c r="E150" s="78" t="s"/>
      <c r="F150" s="48" t="s"/>
      <c r="G150" s="48" t="s"/>
      <c r="H150" s="48" t="s"/>
      <c r="I150" s="48" t="s"/>
      <c r="J150" s="48" t="s"/>
      <c r="K150" s="48" t="s"/>
      <c r="L150" s="48" t="s"/>
      <c r="M150" s="48" t="s"/>
    </row>
    <row r="151" spans="2:13">
      <c r="B151" s="48" t="s"/>
      <c r="C151" s="48" t="s"/>
      <c r="D151" s="48" t="s"/>
      <c r="E151" s="78" t="s"/>
      <c r="F151" s="48" t="s"/>
      <c r="G151" s="48" t="s"/>
      <c r="H151" s="48" t="s"/>
      <c r="I151" s="48" t="s"/>
      <c r="J151" s="48" t="s"/>
      <c r="K151" s="48" t="s"/>
      <c r="L151" s="48" t="s"/>
      <c r="M151" s="48" t="s"/>
    </row>
    <row r="152" spans="2:13">
      <c r="B152" s="48" t="s"/>
      <c r="C152" s="48" t="s"/>
      <c r="D152" s="48" t="s"/>
      <c r="E152" s="78" t="s"/>
      <c r="F152" s="48" t="s"/>
      <c r="G152" s="48" t="s"/>
      <c r="H152" s="48" t="s"/>
      <c r="I152" s="48" t="s"/>
      <c r="J152" s="48" t="s"/>
      <c r="K152" s="48" t="s"/>
      <c r="L152" s="48" t="s"/>
      <c r="M152" s="48" t="s"/>
    </row>
    <row r="153" spans="2:13">
      <c r="B153" s="48" t="s"/>
      <c r="C153" s="48" t="s"/>
      <c r="D153" s="48" t="s"/>
      <c r="E153" s="78" t="s"/>
      <c r="F153" s="48" t="s"/>
      <c r="G153" s="48" t="s"/>
      <c r="H153" s="48" t="s"/>
      <c r="I153" s="48" t="s"/>
      <c r="J153" s="48" t="s"/>
      <c r="K153" s="48" t="s"/>
      <c r="L153" s="48" t="s"/>
      <c r="M153" s="48" t="s"/>
    </row>
    <row r="154" spans="2:13">
      <c r="B154" s="48" t="s"/>
      <c r="C154" s="48" t="s"/>
      <c r="D154" s="48" t="s"/>
      <c r="E154" s="78" t="s"/>
      <c r="F154" s="48" t="s"/>
      <c r="G154" s="48" t="s"/>
      <c r="H154" s="48" t="s"/>
      <c r="I154" s="48" t="s"/>
      <c r="J154" s="48" t="s"/>
      <c r="K154" s="48" t="s"/>
      <c r="L154" s="48" t="s"/>
      <c r="M154" s="48" t="s"/>
    </row>
    <row r="155" spans="2:13">
      <c r="B155" s="48" t="s"/>
      <c r="C155" s="48" t="s"/>
      <c r="D155" s="48" t="s"/>
      <c r="E155" s="78" t="s"/>
      <c r="F155" s="48" t="s"/>
      <c r="G155" s="48" t="s"/>
      <c r="H155" s="48" t="s"/>
      <c r="I155" s="48" t="s"/>
      <c r="J155" s="48" t="s"/>
      <c r="K155" s="48" t="s"/>
      <c r="L155" s="48" t="s"/>
      <c r="M155" s="48" t="s"/>
    </row>
    <row r="156" spans="2:13">
      <c r="B156" s="48" t="s"/>
      <c r="C156" s="48" t="s"/>
      <c r="D156" s="48" t="s"/>
      <c r="E156" s="78" t="s"/>
      <c r="F156" s="48" t="s"/>
      <c r="G156" s="48" t="s"/>
      <c r="H156" s="48" t="s"/>
      <c r="I156" s="48" t="s"/>
      <c r="J156" s="48" t="s"/>
      <c r="K156" s="48" t="s"/>
      <c r="L156" s="48" t="s"/>
      <c r="M156" s="48" t="s"/>
    </row>
    <row r="157" spans="2:13">
      <c r="B157" s="48" t="s"/>
      <c r="C157" s="48" t="s"/>
      <c r="D157" s="48" t="s"/>
      <c r="E157" s="78" t="s"/>
      <c r="F157" s="48" t="s"/>
      <c r="G157" s="48" t="s"/>
      <c r="H157" s="48" t="s"/>
      <c r="I157" s="48" t="s"/>
      <c r="J157" s="48" t="s"/>
      <c r="K157" s="48" t="s"/>
      <c r="L157" s="48" t="s"/>
      <c r="M157" s="48" t="s"/>
    </row>
    <row r="158" spans="2:13">
      <c r="B158" s="48" t="s"/>
      <c r="C158" s="48" t="s"/>
      <c r="D158" s="48" t="s"/>
      <c r="E158" s="78" t="s"/>
      <c r="F158" s="48" t="s"/>
      <c r="G158" s="48" t="s"/>
      <c r="H158" s="48" t="s"/>
      <c r="I158" s="48" t="s"/>
      <c r="J158" s="48" t="s"/>
      <c r="K158" s="48" t="s"/>
      <c r="L158" s="48" t="s"/>
      <c r="M158" s="48" t="s"/>
    </row>
    <row r="159" spans="2:13">
      <c r="B159" s="48" t="s"/>
      <c r="C159" s="48" t="s"/>
      <c r="D159" s="48" t="s"/>
      <c r="E159" s="78" t="s"/>
      <c r="F159" s="48" t="s"/>
      <c r="G159" s="48" t="s"/>
      <c r="H159" s="48" t="s"/>
      <c r="I159" s="48" t="s"/>
      <c r="J159" s="48" t="s"/>
      <c r="K159" s="48" t="s"/>
      <c r="L159" s="48" t="s"/>
      <c r="M159" s="48" t="s"/>
    </row>
    <row r="160" spans="2:13">
      <c r="B160" s="48" t="s"/>
      <c r="C160" s="48" t="s"/>
      <c r="D160" s="48" t="s"/>
      <c r="E160" s="78" t="s"/>
      <c r="F160" s="48" t="s"/>
      <c r="G160" s="48" t="s"/>
      <c r="H160" s="48" t="s"/>
      <c r="I160" s="48" t="s"/>
      <c r="J160" s="48" t="s"/>
      <c r="K160" s="48" t="s"/>
      <c r="L160" s="48" t="s"/>
      <c r="M160" s="48" t="s"/>
    </row>
    <row r="161" spans="2:13">
      <c r="B161" s="48" t="s"/>
      <c r="C161" s="48" t="s"/>
      <c r="D161" s="48" t="s"/>
      <c r="E161" s="78" t="s"/>
      <c r="F161" s="48" t="s"/>
      <c r="G161" s="48" t="s"/>
      <c r="H161" s="48" t="s"/>
      <c r="I161" s="48" t="s"/>
      <c r="J161" s="48" t="s"/>
      <c r="K161" s="48" t="s"/>
      <c r="L161" s="48" t="s"/>
      <c r="M161" s="48" t="s"/>
    </row>
    <row r="162" spans="2:13">
      <c r="B162" s="48" t="s"/>
      <c r="C162" s="48" t="s"/>
      <c r="D162" s="48" t="s"/>
      <c r="E162" s="78" t="s"/>
      <c r="F162" s="48" t="s"/>
      <c r="G162" s="48" t="s"/>
      <c r="H162" s="48" t="s"/>
      <c r="I162" s="48" t="s"/>
      <c r="J162" s="48" t="s"/>
      <c r="K162" s="48" t="s"/>
      <c r="L162" s="48" t="s"/>
      <c r="M162" s="48" t="s"/>
    </row>
    <row r="163" spans="2:13">
      <c r="B163" s="48" t="s"/>
      <c r="C163" s="48" t="s"/>
      <c r="D163" s="48" t="s"/>
      <c r="E163" s="78" t="s"/>
      <c r="F163" s="48" t="s"/>
      <c r="G163" s="48" t="s"/>
      <c r="H163" s="48" t="s"/>
      <c r="I163" s="48" t="s"/>
      <c r="J163" s="48" t="s"/>
      <c r="K163" s="48" t="s"/>
      <c r="L163" s="48" t="s"/>
      <c r="M163" s="48" t="s"/>
    </row>
    <row r="164" spans="2:13">
      <c r="B164" s="48" t="s"/>
      <c r="C164" s="48" t="s"/>
      <c r="D164" s="48" t="s"/>
      <c r="E164" s="78" t="s"/>
      <c r="F164" s="48" t="s"/>
      <c r="G164" s="48" t="s"/>
      <c r="H164" s="48" t="s"/>
      <c r="I164" s="48" t="s"/>
      <c r="J164" s="48" t="s"/>
      <c r="K164" s="48" t="s"/>
      <c r="L164" s="48" t="s"/>
      <c r="M164" s="48" t="s"/>
    </row>
    <row r="165" spans="2:13">
      <c r="B165" s="48" t="s"/>
      <c r="C165" s="48" t="s"/>
      <c r="D165" s="48" t="s"/>
      <c r="E165" s="78" t="s"/>
      <c r="F165" s="48" t="s"/>
      <c r="G165" s="48" t="s"/>
      <c r="H165" s="48" t="s"/>
      <c r="I165" s="48" t="s"/>
      <c r="J165" s="48" t="s"/>
      <c r="K165" s="48" t="s"/>
      <c r="L165" s="48" t="s"/>
      <c r="M165" s="48" t="s"/>
    </row>
    <row r="166" spans="2:13">
      <c r="B166" s="48" t="s"/>
      <c r="C166" s="48" t="s"/>
      <c r="D166" s="48" t="s"/>
      <c r="E166" s="78" t="s"/>
      <c r="F166" s="48" t="s"/>
      <c r="G166" s="48" t="s"/>
      <c r="H166" s="48" t="s"/>
      <c r="I166" s="48" t="s"/>
      <c r="J166" s="48" t="s"/>
      <c r="K166" s="48" t="s"/>
      <c r="L166" s="48" t="s"/>
      <c r="M166" s="48" t="s"/>
    </row>
    <row r="167" spans="2:13">
      <c r="B167" s="48" t="s"/>
      <c r="C167" s="48" t="s"/>
      <c r="D167" s="48" t="s"/>
      <c r="E167" s="78" t="s"/>
      <c r="F167" s="48" t="s"/>
      <c r="G167" s="48" t="s"/>
      <c r="H167" s="48" t="s"/>
      <c r="I167" s="48" t="s"/>
      <c r="J167" s="48" t="s"/>
      <c r="K167" s="48" t="s"/>
      <c r="L167" s="48" t="s"/>
      <c r="M167" s="48" t="s"/>
    </row>
    <row r="168" spans="2:13">
      <c r="B168" s="48" t="s"/>
      <c r="C168" s="48" t="s"/>
      <c r="D168" s="48" t="s"/>
      <c r="E168" s="78" t="s"/>
      <c r="F168" s="48" t="s"/>
      <c r="G168" s="48" t="s"/>
      <c r="H168" s="48" t="s"/>
      <c r="I168" s="48" t="s"/>
      <c r="J168" s="48" t="s"/>
      <c r="K168" s="48" t="s"/>
      <c r="L168" s="48" t="s"/>
      <c r="M168" s="48" t="s"/>
    </row>
    <row r="169" spans="2:13">
      <c r="B169" s="48" t="s"/>
      <c r="C169" s="48" t="s"/>
      <c r="D169" s="48" t="s"/>
      <c r="E169" s="78" t="s"/>
      <c r="F169" s="48" t="s"/>
      <c r="G169" s="48" t="s"/>
      <c r="H169" s="48" t="s"/>
      <c r="I169" s="48" t="s"/>
      <c r="J169" s="48" t="s"/>
      <c r="K169" s="48" t="s"/>
      <c r="L169" s="48" t="s"/>
      <c r="M169" s="48" t="s"/>
    </row>
    <row r="170" spans="2:13">
      <c r="B170" s="48" t="s"/>
      <c r="C170" s="48" t="s"/>
      <c r="D170" s="48" t="s"/>
      <c r="E170" s="78" t="s"/>
      <c r="F170" s="48" t="s"/>
      <c r="G170" s="48" t="s"/>
      <c r="H170" s="48" t="s"/>
      <c r="I170" s="48" t="s"/>
      <c r="J170" s="48" t="s"/>
      <c r="K170" s="48" t="s"/>
      <c r="L170" s="48" t="s"/>
      <c r="M170" s="48" t="s"/>
    </row>
    <row r="171" spans="2:13">
      <c r="B171" s="48" t="s"/>
      <c r="C171" s="48" t="s"/>
      <c r="D171" s="48" t="s"/>
      <c r="E171" s="78" t="s"/>
      <c r="F171" s="48" t="s"/>
      <c r="G171" s="48" t="s"/>
      <c r="H171" s="48" t="s"/>
      <c r="I171" s="48" t="s"/>
      <c r="J171" s="48" t="s"/>
      <c r="K171" s="48" t="s"/>
      <c r="L171" s="48" t="s"/>
      <c r="M171" s="48" t="s"/>
    </row>
    <row r="172" spans="2:13">
      <c r="B172" s="48" t="s"/>
      <c r="C172" s="48" t="s"/>
      <c r="D172" s="48" t="s"/>
      <c r="E172" s="78" t="s"/>
      <c r="F172" s="48" t="s"/>
      <c r="G172" s="48" t="s"/>
      <c r="H172" s="48" t="s"/>
      <c r="I172" s="48" t="s"/>
      <c r="J172" s="48" t="s"/>
      <c r="K172" s="48" t="s"/>
      <c r="L172" s="48" t="s"/>
      <c r="M172" s="48" t="s"/>
    </row>
    <row r="173" spans="2:13">
      <c r="B173" s="48" t="s"/>
      <c r="C173" s="48" t="s"/>
      <c r="D173" s="48" t="s"/>
      <c r="E173" s="78" t="s"/>
      <c r="F173" s="48" t="s"/>
      <c r="G173" s="48" t="s"/>
      <c r="H173" s="48" t="s"/>
      <c r="I173" s="48" t="s"/>
      <c r="J173" s="48" t="s"/>
      <c r="K173" s="48" t="s"/>
      <c r="L173" s="48" t="s"/>
      <c r="M173" s="48" t="s"/>
    </row>
    <row r="174" spans="2:13">
      <c r="B174" s="48" t="s"/>
      <c r="C174" s="48" t="s"/>
      <c r="D174" s="48" t="s"/>
      <c r="E174" s="78" t="s"/>
      <c r="F174" s="48" t="s"/>
      <c r="G174" s="48" t="s"/>
      <c r="H174" s="48" t="s"/>
      <c r="I174" s="48" t="s"/>
      <c r="J174" s="48" t="s"/>
      <c r="K174" s="48" t="s"/>
      <c r="L174" s="48" t="s"/>
      <c r="M174" s="48" t="s"/>
    </row>
    <row r="175" spans="2:13">
      <c r="B175" s="48" t="s"/>
      <c r="C175" s="48" t="s"/>
      <c r="D175" s="48" t="s"/>
      <c r="E175" s="78" t="s"/>
      <c r="F175" s="48" t="s"/>
      <c r="G175" s="48" t="s"/>
      <c r="H175" s="48" t="s"/>
      <c r="I175" s="48" t="s"/>
      <c r="J175" s="48" t="s"/>
      <c r="K175" s="48" t="s"/>
      <c r="L175" s="48" t="s"/>
      <c r="M175" s="48" t="s"/>
    </row>
    <row r="176" spans="2:13">
      <c r="B176" s="48" t="s"/>
      <c r="C176" s="48" t="s"/>
      <c r="D176" s="48" t="s"/>
      <c r="E176" s="78" t="s"/>
      <c r="F176" s="48" t="s"/>
      <c r="G176" s="48" t="s"/>
      <c r="H176" s="48" t="s"/>
      <c r="I176" s="48" t="s"/>
      <c r="J176" s="48" t="s"/>
      <c r="K176" s="48" t="s"/>
      <c r="L176" s="48" t="s"/>
      <c r="M176" s="48" t="s"/>
    </row>
    <row r="177" spans="2:13">
      <c r="B177" s="48" t="s"/>
      <c r="C177" s="48" t="s"/>
      <c r="D177" s="48" t="s"/>
      <c r="E177" s="78" t="s"/>
      <c r="F177" s="48" t="s"/>
      <c r="G177" s="48" t="s"/>
      <c r="H177" s="48" t="s"/>
      <c r="I177" s="48" t="s"/>
      <c r="J177" s="48" t="s"/>
      <c r="K177" s="48" t="s"/>
      <c r="L177" s="48" t="s"/>
      <c r="M177" s="48" t="s"/>
    </row>
    <row r="178" spans="2:13">
      <c r="B178" s="48" t="s"/>
      <c r="C178" s="48" t="s"/>
      <c r="D178" s="48" t="s"/>
      <c r="E178" s="78" t="s"/>
      <c r="F178" s="48" t="s"/>
      <c r="G178" s="48" t="s"/>
      <c r="H178" s="48" t="s"/>
      <c r="I178" s="48" t="s"/>
      <c r="J178" s="48" t="s"/>
      <c r="K178" s="48" t="s"/>
      <c r="L178" s="48" t="s"/>
      <c r="M178" s="48" t="s"/>
    </row>
    <row r="179" spans="2:13">
      <c r="B179" s="48" t="s"/>
      <c r="C179" s="48" t="s"/>
      <c r="D179" s="48" t="s"/>
      <c r="E179" s="78" t="s"/>
      <c r="F179" s="48" t="s"/>
      <c r="G179" s="48" t="s"/>
      <c r="H179" s="48" t="s"/>
      <c r="I179" s="48" t="s"/>
      <c r="J179" s="48" t="s"/>
      <c r="K179" s="48" t="s"/>
      <c r="L179" s="48" t="s"/>
      <c r="M179" s="48" t="s"/>
    </row>
    <row r="180" spans="2:13">
      <c r="B180" s="48" t="s"/>
      <c r="C180" s="48" t="s"/>
      <c r="D180" s="48" t="s"/>
      <c r="E180" s="78" t="s"/>
      <c r="F180" s="48" t="s"/>
      <c r="G180" s="48" t="s"/>
      <c r="H180" s="48" t="s"/>
      <c r="I180" s="48" t="s"/>
      <c r="J180" s="48" t="s"/>
      <c r="K180" s="48" t="s"/>
      <c r="L180" s="48" t="s"/>
      <c r="M180" s="48" t="s"/>
    </row>
    <row r="181" spans="2:13">
      <c r="B181" s="48" t="s"/>
      <c r="C181" s="48" t="s"/>
      <c r="D181" s="48" t="s"/>
      <c r="E181" s="78" t="s"/>
      <c r="F181" s="48" t="s"/>
      <c r="G181" s="48" t="s"/>
      <c r="H181" s="48" t="s"/>
      <c r="I181" s="48" t="s"/>
      <c r="J181" s="48" t="s"/>
      <c r="K181" s="48" t="s"/>
      <c r="L181" s="48" t="s"/>
      <c r="M181" s="48" t="s"/>
    </row>
    <row r="182" spans="2:13">
      <c r="B182" s="48" t="s"/>
      <c r="C182" s="48" t="s"/>
      <c r="D182" s="48" t="s"/>
      <c r="E182" s="78" t="s"/>
      <c r="F182" s="48" t="s"/>
      <c r="G182" s="48" t="s"/>
      <c r="H182" s="48" t="s"/>
      <c r="I182" s="48" t="s"/>
      <c r="J182" s="48" t="s"/>
      <c r="K182" s="48" t="s"/>
      <c r="L182" s="48" t="s"/>
      <c r="M182" s="48" t="s"/>
    </row>
    <row r="183" spans="2:13">
      <c r="B183" s="48" t="s"/>
      <c r="C183" s="48" t="s"/>
      <c r="D183" s="48" t="s"/>
      <c r="E183" s="78" t="s"/>
      <c r="F183" s="48" t="s"/>
      <c r="G183" s="48" t="s"/>
      <c r="H183" s="48" t="s"/>
      <c r="I183" s="48" t="s"/>
      <c r="J183" s="48" t="s"/>
      <c r="K183" s="48" t="s"/>
      <c r="L183" s="48" t="s"/>
      <c r="M183" s="48" t="s"/>
    </row>
    <row r="184" spans="2:13">
      <c r="B184" s="48" t="s"/>
      <c r="C184" s="48" t="s"/>
      <c r="D184" s="48" t="s"/>
      <c r="E184" s="78" t="s"/>
      <c r="F184" s="48" t="s"/>
      <c r="G184" s="48" t="s"/>
      <c r="H184" s="48" t="s"/>
      <c r="I184" s="48" t="s"/>
      <c r="J184" s="48" t="s"/>
      <c r="K184" s="48" t="s"/>
      <c r="L184" s="48" t="s"/>
      <c r="M184" s="48" t="s"/>
    </row>
    <row r="185" spans="2:13">
      <c r="B185" s="48" t="s"/>
      <c r="C185" s="48" t="s"/>
      <c r="D185" s="48" t="s"/>
      <c r="E185" s="78" t="s"/>
      <c r="F185" s="48" t="s"/>
      <c r="G185" s="48" t="s"/>
      <c r="H185" s="48" t="s"/>
      <c r="I185" s="48" t="s"/>
      <c r="J185" s="48" t="s"/>
      <c r="K185" s="48" t="s"/>
      <c r="L185" s="48" t="s"/>
      <c r="M185" s="48" t="s"/>
    </row>
    <row r="186" spans="2:13">
      <c r="B186" s="48" t="s"/>
      <c r="C186" s="48" t="s"/>
      <c r="D186" s="48" t="s"/>
      <c r="E186" s="78" t="s"/>
      <c r="F186" s="48" t="s"/>
      <c r="G186" s="48" t="s"/>
      <c r="H186" s="48" t="s"/>
      <c r="I186" s="48" t="s"/>
      <c r="J186" s="48" t="s"/>
      <c r="K186" s="48" t="s"/>
      <c r="L186" s="48" t="s"/>
      <c r="M186" s="48" t="s"/>
    </row>
    <row r="187" spans="2:13">
      <c r="B187" s="48" t="s"/>
      <c r="C187" s="48" t="s"/>
      <c r="D187" s="48" t="s"/>
      <c r="E187" s="78" t="s"/>
      <c r="F187" s="48" t="s"/>
      <c r="G187" s="48" t="s"/>
      <c r="H187" s="48" t="s"/>
      <c r="I187" s="48" t="s"/>
      <c r="J187" s="48" t="s"/>
      <c r="K187" s="48" t="s"/>
      <c r="L187" s="48" t="s"/>
      <c r="M187" s="48" t="s"/>
    </row>
    <row r="188" spans="2:13">
      <c r="B188" s="48" t="s"/>
      <c r="C188" s="48" t="s"/>
      <c r="D188" s="48" t="s"/>
      <c r="E188" s="78" t="s"/>
      <c r="F188" s="48" t="s"/>
      <c r="G188" s="48" t="s"/>
      <c r="H188" s="48" t="s"/>
      <c r="I188" s="48" t="s"/>
      <c r="J188" s="48" t="s"/>
      <c r="K188" s="48" t="s"/>
      <c r="L188" s="48" t="s"/>
      <c r="M188" s="48" t="s"/>
    </row>
    <row r="189" spans="2:13">
      <c r="B189" s="48" t="s"/>
      <c r="C189" s="48" t="s"/>
      <c r="D189" s="48" t="s"/>
      <c r="E189" s="78" t="s"/>
      <c r="F189" s="48" t="s"/>
      <c r="G189" s="48" t="s"/>
      <c r="H189" s="48" t="s"/>
      <c r="I189" s="48" t="s"/>
      <c r="J189" s="48" t="s"/>
      <c r="K189" s="48" t="s"/>
      <c r="L189" s="48" t="s"/>
      <c r="M189" s="48" t="s"/>
    </row>
    <row r="190" spans="2:13">
      <c r="B190" s="48" t="s"/>
      <c r="C190" s="48" t="s"/>
      <c r="D190" s="48" t="s"/>
      <c r="E190" s="78" t="s"/>
      <c r="F190" s="48" t="s"/>
      <c r="G190" s="48" t="s"/>
      <c r="H190" s="48" t="s"/>
      <c r="I190" s="48" t="s"/>
      <c r="J190" s="48" t="s"/>
      <c r="K190" s="48" t="s"/>
      <c r="L190" s="48" t="s"/>
      <c r="M190" s="48" t="s"/>
    </row>
    <row r="191" spans="2:13">
      <c r="B191" s="48" t="s"/>
      <c r="C191" s="48" t="s"/>
      <c r="D191" s="48" t="s"/>
      <c r="E191" s="78" t="s"/>
      <c r="F191" s="48" t="s"/>
      <c r="G191" s="48" t="s"/>
      <c r="H191" s="48" t="s"/>
      <c r="I191" s="48" t="s"/>
      <c r="J191" s="48" t="s"/>
      <c r="K191" s="48" t="s"/>
      <c r="L191" s="48" t="s"/>
      <c r="M191" s="48" t="s"/>
    </row>
    <row r="192" spans="2:13">
      <c r="B192" s="48" t="s"/>
      <c r="C192" s="48" t="s"/>
      <c r="D192" s="48" t="s"/>
      <c r="E192" s="78" t="s"/>
      <c r="F192" s="48" t="s"/>
      <c r="G192" s="48" t="s"/>
      <c r="H192" s="48" t="s"/>
      <c r="I192" s="48" t="s"/>
      <c r="J192" s="48" t="s"/>
      <c r="K192" s="48" t="s"/>
      <c r="L192" s="48" t="s"/>
      <c r="M192" s="48" t="s"/>
    </row>
    <row r="193" spans="2:13">
      <c r="B193" s="48" t="s"/>
      <c r="C193" s="48" t="s"/>
      <c r="D193" s="48" t="s"/>
      <c r="E193" s="78" t="s"/>
      <c r="F193" s="48" t="s"/>
      <c r="G193" s="48" t="s"/>
      <c r="H193" s="48" t="s"/>
      <c r="I193" s="48" t="s"/>
      <c r="J193" s="48" t="s"/>
      <c r="K193" s="48" t="s"/>
      <c r="L193" s="48" t="s"/>
      <c r="M193" s="48" t="s"/>
    </row>
    <row r="194" spans="2:13">
      <c r="B194" s="48" t="s"/>
      <c r="C194" s="48" t="s"/>
      <c r="D194" s="48" t="s"/>
      <c r="E194" s="78" t="s"/>
      <c r="F194" s="48" t="s"/>
      <c r="G194" s="48" t="s"/>
      <c r="H194" s="48" t="s"/>
      <c r="I194" s="48" t="s"/>
      <c r="J194" s="48" t="s"/>
      <c r="K194" s="48" t="s"/>
      <c r="L194" s="48" t="s"/>
      <c r="M194" s="48" t="s"/>
    </row>
    <row r="195" spans="2:13">
      <c r="B195" s="48" t="s"/>
      <c r="C195" s="48" t="s"/>
      <c r="D195" s="48" t="s"/>
      <c r="E195" s="78" t="s"/>
      <c r="F195" s="48" t="s"/>
      <c r="G195" s="48" t="s"/>
      <c r="H195" s="48" t="s"/>
      <c r="I195" s="48" t="s"/>
      <c r="J195" s="48" t="s"/>
      <c r="K195" s="48" t="s"/>
      <c r="L195" s="48" t="s"/>
      <c r="M195" s="48" t="s"/>
    </row>
    <row r="196" spans="2:13">
      <c r="B196" s="48" t="s"/>
      <c r="C196" s="48" t="s"/>
      <c r="D196" s="48" t="s"/>
      <c r="E196" s="78" t="s"/>
      <c r="F196" s="48" t="s"/>
      <c r="G196" s="48" t="s"/>
      <c r="H196" s="48" t="s"/>
      <c r="I196" s="48" t="s"/>
      <c r="J196" s="48" t="s"/>
      <c r="K196" s="48" t="s"/>
      <c r="L196" s="48" t="s"/>
      <c r="M196" s="48" t="s"/>
    </row>
    <row r="197" spans="2:13">
      <c r="B197" s="48" t="s"/>
      <c r="C197" s="48" t="s"/>
      <c r="D197" s="48" t="s"/>
      <c r="E197" s="78" t="s"/>
      <c r="F197" s="48" t="s"/>
      <c r="G197" s="48" t="s"/>
      <c r="H197" s="48" t="s"/>
      <c r="I197" s="48" t="s"/>
      <c r="J197" s="48" t="s"/>
      <c r="K197" s="48" t="s"/>
      <c r="L197" s="48" t="s"/>
      <c r="M197" s="48" t="s"/>
    </row>
    <row r="198" spans="2:13">
      <c r="B198" s="48" t="s"/>
      <c r="C198" s="48" t="s"/>
      <c r="D198" s="48" t="s"/>
      <c r="E198" s="78" t="s"/>
      <c r="F198" s="48" t="s"/>
      <c r="G198" s="48" t="s"/>
      <c r="H198" s="48" t="s"/>
      <c r="I198" s="48" t="s"/>
      <c r="J198" s="48" t="s"/>
      <c r="K198" s="48" t="s"/>
      <c r="L198" s="48" t="s"/>
      <c r="M198" s="48" t="s"/>
    </row>
    <row r="199" spans="2:13">
      <c r="B199" s="48" t="s"/>
      <c r="C199" s="48" t="s"/>
      <c r="D199" s="48" t="s"/>
      <c r="E199" s="78" t="s"/>
      <c r="F199" s="48" t="s"/>
      <c r="G199" s="48" t="s"/>
      <c r="H199" s="48" t="s"/>
      <c r="I199" s="48" t="s"/>
      <c r="J199" s="48" t="s"/>
      <c r="K199" s="48" t="s"/>
      <c r="L199" s="48" t="s"/>
      <c r="M199" s="48" t="s"/>
    </row>
    <row r="200" spans="2:13">
      <c r="B200" s="48" t="s"/>
      <c r="C200" s="48" t="s"/>
      <c r="D200" s="48" t="s"/>
      <c r="E200" s="78" t="s"/>
      <c r="F200" s="48" t="s"/>
      <c r="G200" s="48" t="s"/>
      <c r="H200" s="48" t="s"/>
      <c r="I200" s="48" t="s"/>
      <c r="J200" s="48" t="s"/>
      <c r="K200" s="48" t="s"/>
      <c r="L200" s="48" t="s"/>
      <c r="M200" s="48" t="s"/>
    </row>
    <row r="201" spans="2:13">
      <c r="B201" s="48" t="s"/>
      <c r="C201" s="48" t="s"/>
      <c r="D201" s="48" t="s"/>
      <c r="E201" s="78" t="s"/>
      <c r="F201" s="48" t="s"/>
      <c r="G201" s="48" t="s"/>
      <c r="H201" s="48" t="s"/>
      <c r="I201" s="48" t="s"/>
      <c r="J201" s="48" t="s"/>
      <c r="K201" s="48" t="s"/>
      <c r="L201" s="48" t="s"/>
      <c r="M201" s="48" t="s"/>
    </row>
    <row r="202" spans="2:13">
      <c r="B202" s="48" t="s"/>
      <c r="C202" s="48" t="s"/>
      <c r="D202" s="48" t="s"/>
      <c r="E202" s="78" t="s"/>
      <c r="F202" s="48" t="s"/>
      <c r="G202" s="48" t="s"/>
      <c r="H202" s="48" t="s"/>
      <c r="I202" s="48" t="s"/>
      <c r="J202" s="48" t="s"/>
      <c r="K202" s="48" t="s"/>
      <c r="L202" s="48" t="s"/>
      <c r="M202" s="48" t="s"/>
    </row>
    <row r="203" spans="2:13">
      <c r="B203" s="48" t="s"/>
      <c r="C203" s="48" t="s"/>
      <c r="D203" s="48" t="s"/>
      <c r="E203" s="78" t="s"/>
      <c r="F203" s="48" t="s"/>
      <c r="G203" s="48" t="s"/>
      <c r="H203" s="48" t="s"/>
      <c r="I203" s="48" t="s"/>
      <c r="J203" s="48" t="s"/>
      <c r="K203" s="48" t="s"/>
      <c r="L203" s="48" t="s"/>
      <c r="M203" s="48" t="s"/>
    </row>
    <row r="204" spans="2:13">
      <c r="B204" s="48" t="s"/>
      <c r="C204" s="48" t="s"/>
      <c r="D204" s="48" t="s"/>
      <c r="E204" s="78" t="s"/>
      <c r="F204" s="48" t="s"/>
      <c r="G204" s="48" t="s"/>
      <c r="H204" s="48" t="s"/>
      <c r="I204" s="48" t="s"/>
      <c r="J204" s="48" t="s"/>
      <c r="K204" s="48" t="s"/>
      <c r="L204" s="48" t="s"/>
      <c r="M204" s="48" t="s"/>
    </row>
    <row r="205" spans="2:13">
      <c r="B205" s="48" t="s"/>
      <c r="C205" s="48" t="s"/>
      <c r="D205" s="48" t="s"/>
      <c r="E205" s="78" t="s"/>
      <c r="F205" s="48" t="s"/>
      <c r="G205" s="48" t="s"/>
      <c r="H205" s="48" t="s"/>
      <c r="I205" s="48" t="s"/>
      <c r="J205" s="48" t="s"/>
      <c r="K205" s="48" t="s"/>
      <c r="L205" s="48" t="s"/>
      <c r="M205" s="48" t="s"/>
    </row>
    <row r="206" spans="2:13">
      <c r="B206" s="48" t="s"/>
      <c r="C206" s="48" t="s"/>
      <c r="D206" s="48" t="s"/>
      <c r="E206" s="78" t="s"/>
      <c r="F206" s="48" t="s"/>
      <c r="G206" s="48" t="s"/>
      <c r="H206" s="48" t="s"/>
      <c r="I206" s="48" t="s"/>
      <c r="J206" s="48" t="s"/>
      <c r="K206" s="48" t="s"/>
      <c r="L206" s="48" t="s"/>
      <c r="M206" s="48" t="s"/>
    </row>
    <row r="207" spans="2:13">
      <c r="B207" s="48" t="s"/>
      <c r="C207" s="48" t="s"/>
      <c r="D207" s="48" t="s"/>
      <c r="E207" s="78" t="s"/>
      <c r="F207" s="48" t="s"/>
      <c r="G207" s="48" t="s"/>
      <c r="H207" s="48" t="s"/>
      <c r="I207" s="48" t="s"/>
      <c r="J207" s="48" t="s"/>
      <c r="K207" s="48" t="s"/>
      <c r="L207" s="48" t="s"/>
      <c r="M207" s="48" t="s"/>
    </row>
    <row r="208" spans="2:13">
      <c r="B208" s="48" t="s"/>
      <c r="C208" s="48" t="s"/>
      <c r="D208" s="48" t="s"/>
      <c r="E208" s="78" t="s"/>
      <c r="F208" s="48" t="s"/>
      <c r="G208" s="48" t="s"/>
      <c r="H208" s="48" t="s"/>
      <c r="I208" s="48" t="s"/>
      <c r="J208" s="48" t="s"/>
      <c r="K208" s="48" t="s"/>
      <c r="L208" s="48" t="s"/>
      <c r="M208" s="48" t="s"/>
    </row>
    <row r="209" spans="2:13">
      <c r="B209" s="48" t="s"/>
      <c r="C209" s="48" t="s"/>
      <c r="D209" s="48" t="s"/>
      <c r="E209" s="78" t="s"/>
      <c r="F209" s="48" t="s"/>
      <c r="G209" s="48" t="s"/>
      <c r="H209" s="48" t="s"/>
      <c r="I209" s="48" t="s"/>
      <c r="J209" s="48" t="s"/>
      <c r="K209" s="48" t="s"/>
      <c r="L209" s="48" t="s"/>
      <c r="M209" s="48" t="s"/>
    </row>
    <row r="210" spans="2:13">
      <c r="B210" s="48" t="s"/>
      <c r="C210" s="48" t="s"/>
      <c r="D210" s="48" t="s"/>
      <c r="E210" s="79" t="s"/>
      <c r="F210" s="48" t="s"/>
      <c r="G210" s="48" t="s"/>
      <c r="H210" s="48" t="s"/>
      <c r="I210" s="48" t="s"/>
      <c r="J210" s="48" t="s"/>
      <c r="K210" s="48" t="s"/>
      <c r="L210" s="48" t="s"/>
      <c r="M210" s="48" t="s"/>
    </row>
    <row r="211" spans="2:13">
      <c r="B211" s="48" t="s"/>
      <c r="C211" s="48" t="s"/>
      <c r="D211" s="48" t="s"/>
      <c r="E211" s="79" t="s"/>
      <c r="F211" s="48" t="s"/>
      <c r="G211" s="48" t="s"/>
      <c r="H211" s="48" t="s"/>
      <c r="I211" s="48" t="s"/>
      <c r="J211" s="48" t="s"/>
      <c r="K211" s="48" t="s"/>
      <c r="L211" s="48" t="s"/>
      <c r="M211" s="48" t="s"/>
    </row>
    <row r="212" spans="2:13">
      <c r="B212" s="48" t="s"/>
      <c r="C212" s="48" t="s"/>
      <c r="D212" s="48" t="s"/>
      <c r="E212" s="80" t="s"/>
      <c r="F212" s="48" t="s"/>
      <c r="G212" s="48" t="s"/>
      <c r="H212" s="48" t="s"/>
      <c r="I212" s="48" t="s"/>
      <c r="J212" s="48" t="s"/>
      <c r="K212" s="48" t="s"/>
      <c r="L212" s="48" t="s"/>
      <c r="M212" s="48" t="s"/>
    </row>
    <row r="213" spans="2:13">
      <c r="B213" s="48" t="s"/>
      <c r="C213" s="48" t="s"/>
      <c r="D213" s="48" t="s"/>
      <c r="E213" s="80" t="s"/>
      <c r="F213" s="48" t="s"/>
      <c r="G213" s="48" t="s"/>
      <c r="H213" s="48" t="s"/>
      <c r="I213" s="48" t="s"/>
      <c r="J213" s="48" t="s"/>
      <c r="K213" s="48" t="s"/>
      <c r="L213" s="48" t="s"/>
      <c r="M213" s="48" t="s"/>
    </row>
  </sheetData>
  <autoFilter ref="A1:V43">
    <filterColumn colId="9">
      <filters blank="0">
        <filter val="500"/>
        <filter val="800"/>
        <filter val="1000"/>
        <filter val="1500"/>
        <filter val="2000"/>
      </filters>
    </filterColumn>
    <sortState ref="A2:V43"/>
  </autoFilter>
  <mergeCells count="18">
    <mergeCell ref="B1:B2"/>
    <mergeCell ref="C1:C2"/>
    <mergeCell ref="D1:D2"/>
    <mergeCell ref="J1:J2"/>
    <mergeCell ref="A1:A2"/>
    <mergeCell ref="E1:E2"/>
    <mergeCell ref="F1:H1"/>
    <mergeCell ref="N10:O10"/>
    <mergeCell ref="N1:N2"/>
    <mergeCell ref="O1:O2"/>
    <mergeCell ref="P1:P2"/>
    <mergeCell ref="Q1:Q2"/>
    <mergeCell ref="R1:R2"/>
    <mergeCell ref="S1:S2"/>
    <mergeCell ref="T1:T2"/>
    <mergeCell ref="U1:U2"/>
    <mergeCell ref="I1:I2"/>
    <mergeCell ref="V1:V2"/>
  </mergeCells>
  <dataValidations>
    <dataValidation type="list" errorStyle="stop" allowBlank="1" showDropDown="0" showInputMessage="1" showErrorMessage="1" prompt="" sqref="E3:E1048576">
      <formula1>"是,否,"</formula1>
    </dataValidation>
  </dataValidations>
  <hyperlinks>
    <hyperlink ref="D3" r:id="rId0"/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4" r:id="rId10"/>
    <hyperlink ref="D15" r:id="rId11"/>
    <hyperlink ref="D16" r:id="rId12"/>
    <hyperlink ref="D17" r:id="rId13"/>
    <hyperlink ref="D18" r:id="rId14"/>
    <hyperlink ref="D19" r:id="rId15"/>
    <hyperlink ref="D20" r:id="rId16"/>
    <hyperlink ref="D22" r:id="rId17"/>
    <hyperlink ref="D23" r:id="rId18"/>
    <hyperlink ref="D24" r:id="rId19"/>
    <hyperlink ref="D25" r:id="rId20"/>
    <hyperlink ref="D26" r:id="rId21"/>
    <hyperlink ref="D27" r:id="rId22"/>
    <hyperlink ref="D28" r:id="rId23"/>
    <hyperlink ref="D29" r:id="rId24"/>
    <hyperlink ref="D30" r:id="rId25"/>
    <hyperlink ref="D31" r:id="rId26"/>
    <hyperlink ref="D32" r:id="rId27"/>
    <hyperlink ref="D33" r:id="rId28"/>
    <hyperlink ref="D34" r:id="rId29"/>
    <hyperlink ref="D35" r:id="rId30"/>
    <hyperlink ref="D36" r:id="rId31"/>
    <hyperlink ref="D37" r:id="rId32"/>
    <hyperlink ref="D38" r:id="rId33"/>
    <hyperlink ref="D39" r:id="rId34"/>
    <hyperlink ref="D40" r:id="rId35"/>
    <hyperlink ref="D42" r:id="rId36"/>
    <hyperlink ref="D43" r:id="rId37"/>
  </hyperlinks>
</worksheet>
</file>

<file path=xl/worksheets/sheet3.xml><?xml version="1.0" encoding="utf-8"?>
<worksheet xmlns="http://schemas.openxmlformats.org/spreadsheetml/2006/main">
  <sheetPr>
    <tabColor rgb="FFE6A47B"/>
  </sheetPr>
  <sheetViews>
    <sheetView showGridLines="0" workbookViewId="0">
      <pane xSplit="1" ySplit="9" topLeftCell="B10" activePane="bottomRight" state="frozen"/>
    </sheetView>
  </sheetViews>
  <sheetFormatPr defaultRowHeight="15"/>
  <cols>
    <col min="1" max="1" width="24" hidden="0" customWidth="1"/>
    <col min="2" max="2" width="14" hidden="0" customWidth="1"/>
    <col min="3" max="3" width="32" hidden="0" customWidth="1"/>
    <col min="4" max="4" width="14" hidden="0" customWidth="1"/>
    <col min="5" max="5" width="14" hidden="0" customWidth="1"/>
    <col min="6" max="6" width="14" hidden="0" customWidth="1"/>
    <col min="7" max="7" width="16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  <col min="12" max="12" width="14" hidden="0" customWidth="1"/>
    <col min="13" max="13" width="14" hidden="0" customWidth="1"/>
    <col min="14" max="14" width="14" hidden="0" customWidth="1"/>
    <col min="15" max="15" width="14" hidden="0" customWidth="1"/>
    <col min="16" max="16" width="14" hidden="0" customWidth="1"/>
    <col min="17" max="17" width="14" hidden="0" customWidth="1"/>
    <col min="18" max="18" width="14" hidden="0" customWidth="1"/>
    <col min="19" max="19" width="14" hidden="0" customWidth="1"/>
    <col min="20" max="20" width="16" hidden="0" customWidth="1"/>
    <col min="21" max="21" width="16" hidden="0" customWidth="1"/>
    <col min="22" max="22" width="40" hidden="0" customWidth="1"/>
  </cols>
  <sheetData>
    <row r="1" ht="43.5" customHeight="1">
      <c r="A1" s="4" t="str">
        <v>【内容事业部】抖音游戏类小号维护标准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5" customHeight="1">
      <c r="A2" t="str" s="9">
        <v>适用：定制刊例报价＜10,000元，共20个账号。每个账号分别列私单、平台单。金额单位：元；数量单位见列标题。
私单按询单表私单价格，不额外折扣；平台单按各账号定制刊例报价×70%。本表为建议标准，非已执行记录。
播放目标沿用大号模板：定制基准×80%÷30×1000。按完整目标预留千川费用，不将星图中位数当成已实现播放扣减。
互动建议按大号1万元档等比例缩放：点赞15,000、评论200、收藏200、转发300；按千/十向上取整，价格采用当前工作台。
执行建议：发布后24小时核对自然数据，只补目标差额；有缺口但低于起订量仍按最低量计费。48小时复核，达标停止。
星图30天中位数仅作观察目标，千川不保证提升该指标；满30天、至少3条样本再评估报价。平台费、制作及税务差额未计入毛利。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2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2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2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25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</row>
    <row r="9" ht="72" customHeight="1">
      <c r="A9" t="str" s="11">
        <v>账号</v>
      </c>
      <c r="B9" t="str" s="12">
        <v>定制刊例价</v>
      </c>
      <c r="C9" t="str" s="12">
        <v>私单报价</v>
      </c>
      <c r="D9" t="str" s="11">
        <v>订单类型</v>
      </c>
      <c r="E9" t="str" s="15">
        <v>成交价</v>
      </c>
      <c r="F9" t="str" s="17">
        <v>目标播放量
（次）</v>
      </c>
      <c r="G9" t="str" s="11">
        <v>千川版本</v>
      </c>
      <c r="H9" t="str" s="17">
        <v>千川费用</v>
      </c>
      <c r="I9" t="str" s="11">
        <v>点赞
（个）</v>
      </c>
      <c r="J9" t="str" s="11">
        <v>评论
（个）</v>
      </c>
      <c r="K9" t="str" s="11">
        <v>收藏
（个）</v>
      </c>
      <c r="L9" t="str" s="11">
        <v>转发
（个）</v>
      </c>
      <c r="M9" t="str" s="11">
        <v>互动费用</v>
      </c>
      <c r="N9" t="str" s="11">
        <v>总维护成本</v>
      </c>
      <c r="O9" t="str" s="11">
        <v>维护费/成交价</v>
      </c>
      <c r="P9" t="str" s="17">
        <v>集团毛利</v>
      </c>
      <c r="Q9" t="str" s="11">
        <v>集团毛利率
（占折前报价）</v>
      </c>
      <c r="R9" t="str" s="19">
        <v>部门毛利</v>
      </c>
      <c r="S9" t="str" s="19">
        <v>部门毛利率
（占折前报价）</v>
      </c>
      <c r="T9" t="str" s="11">
        <v>负责人</v>
      </c>
      <c r="U9" t="str" s="11">
        <v>账号类型</v>
      </c>
      <c r="V9" t="str" s="11">
        <v>主页链接</v>
      </c>
    </row>
    <row r="10" ht="25" customHeight="1">
      <c r="A10" t="str" s="20">
        <v>麦小雯</v>
      </c>
      <c r="B10" t="n" s="21">
        <v>6000</v>
      </c>
      <c r="C10" t="n" s="21">
        <v>3600</v>
      </c>
      <c r="D10" t="str" s="20">
        <v>私单</v>
      </c>
      <c r="E10" t="n" s="21">
        <f>(C10)*(1)</f>
        <v>3600</v>
      </c>
      <c r="F10" t="n" s="27">
        <f>ROUNDUP(B10*$B$62/$B$63*1000,0)</f>
        <v>160000</v>
      </c>
      <c r="G10" t="str" s="20">
        <v>普通千川</v>
      </c>
      <c r="H10" t="n" s="28">
        <f>(MAX($B$55,ROUNDUP(F10/10000,0)))*($B$53)</f>
        <v>336</v>
      </c>
      <c r="I10" t="n" s="22">
        <f>ROUNDUP(B10*$B$67/$B$66/1000,0)*1000</f>
        <v>9000</v>
      </c>
      <c r="J10" t="n" s="22">
        <f>ROUNDUP(B10*$B$68/$B$66/10,0)*10</f>
        <v>120</v>
      </c>
      <c r="K10" t="n" s="22">
        <f>ROUNDUP(B10*$B$69/$B$66/10,0)*10</f>
        <v>120</v>
      </c>
      <c r="L10" t="n" s="22">
        <f>ROUNDUP(B10*$B$70/$B$66/10,0)*10</f>
        <v>180</v>
      </c>
      <c r="M10" t="n" s="28">
        <f>I10/1000*$B$57+J10*$B$58+K10*$B$59+L10*$B$60</f>
        <v>684</v>
      </c>
      <c r="N10" t="n" s="28">
        <f>SUM(H10,M10)</f>
        <v>1020</v>
      </c>
      <c r="O10" t="n" s="29">
        <f>N10/E10</f>
        <v>0.2833333333333333</v>
      </c>
      <c r="P10" t="n" s="28">
        <f>E10-N10</f>
        <v>2580</v>
      </c>
      <c r="Q10" t="n" s="29">
        <f>P10/(C10)</f>
        <v>0.7166666666666667</v>
      </c>
      <c r="R10" t="n" s="28">
        <f>P10*$B$71</f>
        <v>1677</v>
      </c>
      <c r="S10" t="n" s="29">
        <f>R10/(C10)</f>
        <v>0.4658333333333333</v>
      </c>
      <c r="T10" t="str" s="20">
        <v>陈健伊</v>
      </c>
      <c r="U10" t="str" s="20">
        <v>常规游戏账号</v>
      </c>
      <c r="V10" t="str" s="20">
        <v>https://v.douyin.com/DcH2brXPgvc/</v>
      </c>
    </row>
    <row r="11" ht="25" customHeight="1">
      <c r="A11" s="20"/>
      <c r="B11" s="21"/>
      <c r="C11" s="21"/>
      <c r="D11" t="str" s="20">
        <v>平台单</v>
      </c>
      <c r="E11" t="n" s="21">
        <f>(B10)*($B$61)</f>
        <v>4200</v>
      </c>
      <c r="F11" s="27"/>
      <c r="G11" t="str" s="20">
        <v>千川无视版</v>
      </c>
      <c r="H11" t="n" s="28">
        <f>(MAX($B$56,ROUNDUP(F10/10000,0)))*($B$54)</f>
        <v>880</v>
      </c>
      <c r="I11" s="22"/>
      <c r="J11" s="22"/>
      <c r="K11" s="22"/>
      <c r="L11" s="22"/>
      <c r="M11" s="28"/>
      <c r="N11" t="n" s="28">
        <f>SUM(H11,M10)</f>
        <v>1564</v>
      </c>
      <c r="O11" t="n" s="29">
        <f>N11/E11</f>
        <v>0.37238095238095237</v>
      </c>
      <c r="P11" t="n" s="28">
        <f>E11-N11</f>
        <v>2636</v>
      </c>
      <c r="Q11" t="n" s="29">
        <f>P11/(B10)</f>
        <v>0.43933333333333335</v>
      </c>
      <c r="R11" t="n" s="28">
        <f>P11*$B$71</f>
        <v>1713.4</v>
      </c>
      <c r="S11" t="n" s="29">
        <f>R11/(B10)</f>
        <v>0.2855666666666667</v>
      </c>
      <c r="T11" s="20"/>
      <c r="U11" s="20"/>
      <c r="V11" s="20"/>
    </row>
    <row r="12" ht="25" customHeight="1">
      <c r="A12" t="str" s="20">
        <v>葵仔不想肝</v>
      </c>
      <c r="B12" t="n" s="21">
        <v>6250</v>
      </c>
      <c r="C12" t="n" s="21">
        <v>3750</v>
      </c>
      <c r="D12" t="str" s="20">
        <v>私单</v>
      </c>
      <c r="E12" t="n" s="21">
        <f>(C12)*(1)</f>
        <v>3750</v>
      </c>
      <c r="F12" t="n" s="27">
        <f>ROUNDUP(B12*$B$62/$B$63*1000,0)</f>
        <v>166667</v>
      </c>
      <c r="G12" t="str" s="20">
        <v>普通千川</v>
      </c>
      <c r="H12" t="n" s="28">
        <f>(MAX($B$55,ROUNDUP(F12/10000,0)))*($B$53)</f>
        <v>357</v>
      </c>
      <c r="I12" t="n" s="22">
        <f>ROUNDUP(B12*$B$67/$B$66/1000,0)*1000</f>
        <v>10000</v>
      </c>
      <c r="J12" t="n" s="22">
        <f>ROUNDUP(B12*$B$68/$B$66/10,0)*10</f>
        <v>130</v>
      </c>
      <c r="K12" t="n" s="22">
        <f>ROUNDUP(B12*$B$69/$B$66/10,0)*10</f>
        <v>130</v>
      </c>
      <c r="L12" t="n" s="22">
        <f>ROUNDUP(B12*$B$70/$B$66/10,0)*10</f>
        <v>190</v>
      </c>
      <c r="M12" t="n" s="28">
        <f>I12/1000*$B$57+J12*$B$58+K12*$B$59+L12*$B$60</f>
        <v>755</v>
      </c>
      <c r="N12" t="n" s="28">
        <f>SUM(H12,M12)</f>
        <v>1112</v>
      </c>
      <c r="O12" t="n" s="29">
        <f>N12/E12</f>
        <v>0.2965333333333333</v>
      </c>
      <c r="P12" t="n" s="28">
        <f>E12-N12</f>
        <v>2638</v>
      </c>
      <c r="Q12" t="n" s="29">
        <f>P12/(C12)</f>
        <v>0.7034666666666667</v>
      </c>
      <c r="R12" t="n" s="28">
        <f>P12*$B$71</f>
        <v>1714.7</v>
      </c>
      <c r="S12" t="n" s="29">
        <f>R12/(C12)</f>
        <v>0.45725333333333334</v>
      </c>
      <c r="T12" t="str" s="20">
        <v>刘登魁</v>
      </c>
      <c r="U12" t="str" s="20">
        <v>常规游戏账号</v>
      </c>
      <c r="V12" t="str" s="20">
        <v>https://v.douyin.com/38Scd6JrG_s/</v>
      </c>
    </row>
    <row r="13" ht="25" customHeight="1">
      <c r="A13" s="20"/>
      <c r="B13" s="21"/>
      <c r="C13" s="21"/>
      <c r="D13" t="str" s="20">
        <v>平台单</v>
      </c>
      <c r="E13" t="n" s="21">
        <f>(B12)*($B$61)</f>
        <v>4375</v>
      </c>
      <c r="F13" s="27"/>
      <c r="G13" t="str" s="20">
        <v>千川无视版</v>
      </c>
      <c r="H13" t="n" s="28">
        <f>(MAX($B$56,ROUNDUP(F12/10000,0)))*($B$54)</f>
        <v>935</v>
      </c>
      <c r="I13" s="22"/>
      <c r="J13" s="22"/>
      <c r="K13" s="22"/>
      <c r="L13" s="22"/>
      <c r="M13" s="28"/>
      <c r="N13" t="n" s="28">
        <f>SUM(H13,M12)</f>
        <v>1690</v>
      </c>
      <c r="O13" t="n" s="29">
        <f>N13/E13</f>
        <v>0.3862857142857143</v>
      </c>
      <c r="P13" t="n" s="28">
        <f>E13-N13</f>
        <v>2685</v>
      </c>
      <c r="Q13" t="n" s="29">
        <f>P13/(B12)</f>
        <v>0.4296</v>
      </c>
      <c r="R13" t="n" s="28">
        <f>P13*$B$71</f>
        <v>1745.25</v>
      </c>
      <c r="S13" t="n" s="29">
        <f>R13/(B12)</f>
        <v>0.27924</v>
      </c>
      <c r="T13" s="20"/>
      <c r="U13" s="20"/>
      <c r="V13" s="20"/>
    </row>
    <row r="14" ht="25" customHeight="1">
      <c r="A14" t="str" s="20">
        <v>游热娃子</v>
      </c>
      <c r="B14" t="n" s="21">
        <v>8750</v>
      </c>
      <c r="C14" t="n" s="21">
        <v>5250</v>
      </c>
      <c r="D14" t="str" s="20">
        <v>私单</v>
      </c>
      <c r="E14" t="n" s="21">
        <f>(C14)*(1)</f>
        <v>5250</v>
      </c>
      <c r="F14" t="n" s="27">
        <f>ROUNDUP(B14*$B$62/$B$63*1000,0)</f>
        <v>233334</v>
      </c>
      <c r="G14" t="str" s="20">
        <v>普通千川</v>
      </c>
      <c r="H14" t="n" s="28">
        <f>(MAX($B$55,ROUNDUP(F14/10000,0)))*($B$53)</f>
        <v>504</v>
      </c>
      <c r="I14" t="n" s="22">
        <f>ROUNDUP(B14*$B$67/$B$66/1000,0)*1000</f>
        <v>14000</v>
      </c>
      <c r="J14" t="n" s="22">
        <f>ROUNDUP(B14*$B$68/$B$66/10,0)*10</f>
        <v>180</v>
      </c>
      <c r="K14" t="n" s="22">
        <f>ROUNDUP(B14*$B$69/$B$66/10,0)*10</f>
        <v>180</v>
      </c>
      <c r="L14" t="n" s="22">
        <f>ROUNDUP(B14*$B$70/$B$66/10,0)*10</f>
        <v>270</v>
      </c>
      <c r="M14" t="n" s="28">
        <f>I14/1000*$B$57+J14*$B$58+K14*$B$59+L14*$B$60</f>
        <v>1056</v>
      </c>
      <c r="N14" t="n" s="28">
        <f>SUM(H14,M14)</f>
        <v>1560</v>
      </c>
      <c r="O14" t="n" s="29">
        <f>N14/E14</f>
        <v>0.29714285714285715</v>
      </c>
      <c r="P14" t="n" s="28">
        <f>E14-N14</f>
        <v>3690</v>
      </c>
      <c r="Q14" t="n" s="29">
        <f>P14/(C14)</f>
        <v>0.7028571428571428</v>
      </c>
      <c r="R14" t="n" s="28">
        <f>P14*$B$71</f>
        <v>2398.5</v>
      </c>
      <c r="S14" t="n" s="29">
        <f>R14/(C14)</f>
        <v>0.45685714285714285</v>
      </c>
      <c r="T14" t="str" s="20">
        <v>杨鸿霆</v>
      </c>
      <c r="U14" t="str" s="20">
        <v>常规游戏账号</v>
      </c>
      <c r="V14" t="str" s="20">
        <v>https://v.douyin.com/JmcvjVd/</v>
      </c>
    </row>
    <row r="15" ht="25" customHeight="1">
      <c r="A15" s="20"/>
      <c r="B15" s="21"/>
      <c r="C15" s="21"/>
      <c r="D15" t="str" s="20">
        <v>平台单</v>
      </c>
      <c r="E15" t="n" s="21">
        <f>(B14)*($B$61)</f>
        <v>6125</v>
      </c>
      <c r="F15" s="27"/>
      <c r="G15" t="str" s="20">
        <v>千川无视版</v>
      </c>
      <c r="H15" t="n" s="28">
        <f>(MAX($B$56,ROUNDUP(F14/10000,0)))*($B$54)</f>
        <v>1320</v>
      </c>
      <c r="I15" s="22"/>
      <c r="J15" s="22"/>
      <c r="K15" s="22"/>
      <c r="L15" s="22"/>
      <c r="M15" s="28"/>
      <c r="N15" t="n" s="28">
        <f>SUM(H15,M14)</f>
        <v>2376</v>
      </c>
      <c r="O15" t="n" s="29">
        <f>N15/E15</f>
        <v>0.3879183673469388</v>
      </c>
      <c r="P15" t="n" s="28">
        <f>E15-N15</f>
        <v>3749</v>
      </c>
      <c r="Q15" t="n" s="29">
        <f>P15/(B14)</f>
        <v>0.42845714285714287</v>
      </c>
      <c r="R15" t="n" s="28">
        <f>P15*$B$71</f>
        <v>2436.85</v>
      </c>
      <c r="S15" t="n" s="29">
        <f>R15/(B14)</f>
        <v>0.27849714285714283</v>
      </c>
      <c r="T15" s="20"/>
      <c r="U15" s="20"/>
      <c r="V15" s="20"/>
    </row>
    <row r="16" ht="25" customHeight="1">
      <c r="A16" t="str" s="20">
        <v>游小妹</v>
      </c>
      <c r="B16" t="n" s="21">
        <v>6000</v>
      </c>
      <c r="C16" t="n" s="21">
        <v>3600</v>
      </c>
      <c r="D16" t="str" s="20">
        <v>私单</v>
      </c>
      <c r="E16" t="n" s="21">
        <f>(C16)*(1)</f>
        <v>3600</v>
      </c>
      <c r="F16" t="n" s="27">
        <f>ROUNDUP(B16*$B$62/$B$63*1000,0)</f>
        <v>160000</v>
      </c>
      <c r="G16" t="str" s="20">
        <v>普通千川</v>
      </c>
      <c r="H16" t="n" s="28">
        <f>(MAX($B$55,ROUNDUP(F16/10000,0)))*($B$53)</f>
        <v>336</v>
      </c>
      <c r="I16" t="n" s="22">
        <f>ROUNDUP(B16*$B$67/$B$66/1000,0)*1000</f>
        <v>9000</v>
      </c>
      <c r="J16" t="n" s="22">
        <f>ROUNDUP(B16*$B$68/$B$66/10,0)*10</f>
        <v>120</v>
      </c>
      <c r="K16" t="n" s="22">
        <f>ROUNDUP(B16*$B$69/$B$66/10,0)*10</f>
        <v>120</v>
      </c>
      <c r="L16" t="n" s="22">
        <f>ROUNDUP(B16*$B$70/$B$66/10,0)*10</f>
        <v>180</v>
      </c>
      <c r="M16" t="n" s="28">
        <f>I16/1000*$B$57+J16*$B$58+K16*$B$59+L16*$B$60</f>
        <v>684</v>
      </c>
      <c r="N16" t="n" s="28">
        <f>SUM(H16,M16)</f>
        <v>1020</v>
      </c>
      <c r="O16" t="n" s="29">
        <f>N16/E16</f>
        <v>0.2833333333333333</v>
      </c>
      <c r="P16" t="n" s="28">
        <f>E16-N16</f>
        <v>2580</v>
      </c>
      <c r="Q16" t="n" s="29">
        <f>P16/(C16)</f>
        <v>0.7166666666666667</v>
      </c>
      <c r="R16" t="n" s="28">
        <f>P16*$B$71</f>
        <v>1677</v>
      </c>
      <c r="S16" t="n" s="29">
        <f>R16/(C16)</f>
        <v>0.4658333333333333</v>
      </c>
      <c r="T16" t="str" s="20">
        <v>杨鸿霆</v>
      </c>
      <c r="U16" t="str" s="20">
        <v>常规游戏账号</v>
      </c>
      <c r="V16" t="str" s="20">
        <v>https://v.douyin.com/JmcXQpY/</v>
      </c>
    </row>
    <row r="17" ht="25" customHeight="1">
      <c r="A17" s="20"/>
      <c r="B17" s="21"/>
      <c r="C17" s="21"/>
      <c r="D17" t="str" s="20">
        <v>平台单</v>
      </c>
      <c r="E17" t="n" s="21">
        <f>(B16)*($B$61)</f>
        <v>4200</v>
      </c>
      <c r="F17" s="27"/>
      <c r="G17" t="str" s="20">
        <v>千川无视版</v>
      </c>
      <c r="H17" t="n" s="28">
        <f>(MAX($B$56,ROUNDUP(F16/10000,0)))*($B$54)</f>
        <v>880</v>
      </c>
      <c r="I17" s="22"/>
      <c r="J17" s="22"/>
      <c r="K17" s="22"/>
      <c r="L17" s="22"/>
      <c r="M17" s="28"/>
      <c r="N17" t="n" s="28">
        <f>SUM(H17,M16)</f>
        <v>1564</v>
      </c>
      <c r="O17" t="n" s="29">
        <f>N17/E17</f>
        <v>0.37238095238095237</v>
      </c>
      <c r="P17" t="n" s="28">
        <f>E17-N17</f>
        <v>2636</v>
      </c>
      <c r="Q17" t="n" s="29">
        <f>P17/(B16)</f>
        <v>0.43933333333333335</v>
      </c>
      <c r="R17" t="n" s="28">
        <f>P17*$B$71</f>
        <v>1713.4</v>
      </c>
      <c r="S17" t="n" s="29">
        <f>R17/(B16)</f>
        <v>0.2855666666666667</v>
      </c>
      <c r="T17" s="20"/>
      <c r="U17" s="20"/>
      <c r="V17" s="20"/>
    </row>
    <row r="18" ht="25" customHeight="1">
      <c r="A18" t="str" s="20">
        <v>灵梦小师妹</v>
      </c>
      <c r="B18" t="n" s="21">
        <v>6000</v>
      </c>
      <c r="C18" t="n" s="21">
        <v>3600</v>
      </c>
      <c r="D18" t="str" s="20">
        <v>私单</v>
      </c>
      <c r="E18" t="n" s="21">
        <f>(C18)*(1)</f>
        <v>3600</v>
      </c>
      <c r="F18" t="n" s="27">
        <f>ROUNDUP(B18*$B$62/$B$63*1000,0)</f>
        <v>160000</v>
      </c>
      <c r="G18" t="str" s="20">
        <v>普通千川</v>
      </c>
      <c r="H18" t="n" s="28">
        <f>(MAX($B$55,ROUNDUP(F18/10000,0)))*($B$53)</f>
        <v>336</v>
      </c>
      <c r="I18" t="n" s="22">
        <f>ROUNDUP(B18*$B$67/$B$66/1000,0)*1000</f>
        <v>9000</v>
      </c>
      <c r="J18" t="n" s="22">
        <f>ROUNDUP(B18*$B$68/$B$66/10,0)*10</f>
        <v>120</v>
      </c>
      <c r="K18" t="n" s="22">
        <f>ROUNDUP(B18*$B$69/$B$66/10,0)*10</f>
        <v>120</v>
      </c>
      <c r="L18" t="n" s="22">
        <f>ROUNDUP(B18*$B$70/$B$66/10,0)*10</f>
        <v>180</v>
      </c>
      <c r="M18" t="n" s="28">
        <f>I18/1000*$B$57+J18*$B$58+K18*$B$59+L18*$B$60</f>
        <v>684</v>
      </c>
      <c r="N18" t="n" s="28">
        <f>SUM(H18,M18)</f>
        <v>1020</v>
      </c>
      <c r="O18" t="n" s="29">
        <f>N18/E18</f>
        <v>0.2833333333333333</v>
      </c>
      <c r="P18" t="n" s="28">
        <f>E18-N18</f>
        <v>2580</v>
      </c>
      <c r="Q18" t="n" s="29">
        <f>P18/(C18)</f>
        <v>0.7166666666666667</v>
      </c>
      <c r="R18" t="n" s="28">
        <f>P18*$B$71</f>
        <v>1677</v>
      </c>
      <c r="S18" t="n" s="29">
        <f>R18/(C18)</f>
        <v>0.4658333333333333</v>
      </c>
      <c r="T18" t="str" s="20">
        <v>林宇辰</v>
      </c>
      <c r="U18" t="str" s="20">
        <v>常规游戏账号</v>
      </c>
      <c r="V18" t="str" s="20">
        <v>https://www.douyin.com/user/MS4wLjABAAAAJfqON1LDmWBPlUXvQ-iwZ6AZLbLuIj72uGiFUuot89k</v>
      </c>
    </row>
    <row r="19" ht="25" customHeight="1">
      <c r="A19" s="20"/>
      <c r="B19" s="21"/>
      <c r="C19" s="21"/>
      <c r="D19" t="str" s="20">
        <v>平台单</v>
      </c>
      <c r="E19" t="n" s="21">
        <f>(B18)*($B$61)</f>
        <v>4200</v>
      </c>
      <c r="F19" s="27"/>
      <c r="G19" t="str" s="20">
        <v>千川无视版</v>
      </c>
      <c r="H19" t="n" s="28">
        <f>(MAX($B$56,ROUNDUP(F18/10000,0)))*($B$54)</f>
        <v>880</v>
      </c>
      <c r="I19" s="22"/>
      <c r="J19" s="22"/>
      <c r="K19" s="22"/>
      <c r="L19" s="22"/>
      <c r="M19" s="28"/>
      <c r="N19" t="n" s="28">
        <f>SUM(H19,M18)</f>
        <v>1564</v>
      </c>
      <c r="O19" t="n" s="29">
        <f>N19/E19</f>
        <v>0.37238095238095237</v>
      </c>
      <c r="P19" t="n" s="28">
        <f>E19-N19</f>
        <v>2636</v>
      </c>
      <c r="Q19" t="n" s="29">
        <f>P19/(B18)</f>
        <v>0.43933333333333335</v>
      </c>
      <c r="R19" t="n" s="28">
        <f>P19*$B$71</f>
        <v>1713.4</v>
      </c>
      <c r="S19" t="n" s="29">
        <f>R19/(B18)</f>
        <v>0.2855666666666667</v>
      </c>
      <c r="T19" s="20"/>
      <c r="U19" s="20"/>
      <c r="V19" s="20"/>
    </row>
    <row r="20" ht="25" customHeight="1">
      <c r="A20" t="str" s="20">
        <v>超玩教授</v>
      </c>
      <c r="B20" t="n" s="21">
        <v>6000</v>
      </c>
      <c r="C20" t="n" s="21">
        <v>3600</v>
      </c>
      <c r="D20" t="str" s="20">
        <v>私单</v>
      </c>
      <c r="E20" t="n" s="21">
        <f>(C20)*(1)</f>
        <v>3600</v>
      </c>
      <c r="F20" t="n" s="27">
        <f>ROUNDUP(B20*$B$62/$B$63*1000,0)</f>
        <v>160000</v>
      </c>
      <c r="G20" t="str" s="20">
        <v>普通千川</v>
      </c>
      <c r="H20" t="n" s="28">
        <f>(MAX($B$55,ROUNDUP(F20/10000,0)))*($B$53)</f>
        <v>336</v>
      </c>
      <c r="I20" t="n" s="22">
        <f>ROUNDUP(B20*$B$67/$B$66/1000,0)*1000</f>
        <v>9000</v>
      </c>
      <c r="J20" t="n" s="22">
        <f>ROUNDUP(B20*$B$68/$B$66/10,0)*10</f>
        <v>120</v>
      </c>
      <c r="K20" t="n" s="22">
        <f>ROUNDUP(B20*$B$69/$B$66/10,0)*10</f>
        <v>120</v>
      </c>
      <c r="L20" t="n" s="22">
        <f>ROUNDUP(B20*$B$70/$B$66/10,0)*10</f>
        <v>180</v>
      </c>
      <c r="M20" t="n" s="28">
        <f>I20/1000*$B$57+J20*$B$58+K20*$B$59+L20*$B$60</f>
        <v>684</v>
      </c>
      <c r="N20" t="n" s="28">
        <f>SUM(H20,M20)</f>
        <v>1020</v>
      </c>
      <c r="O20" t="n" s="29">
        <f>N20/E20</f>
        <v>0.2833333333333333</v>
      </c>
      <c r="P20" t="n" s="28">
        <f>E20-N20</f>
        <v>2580</v>
      </c>
      <c r="Q20" t="n" s="29">
        <f>P20/(C20)</f>
        <v>0.7166666666666667</v>
      </c>
      <c r="R20" t="n" s="28">
        <f>P20*$B$71</f>
        <v>1677</v>
      </c>
      <c r="S20" t="n" s="29">
        <f>R20/(C20)</f>
        <v>0.4658333333333333</v>
      </c>
      <c r="T20" t="str" s="20">
        <v>商光涵</v>
      </c>
      <c r="U20" t="str" s="20">
        <v>常规游戏账号</v>
      </c>
      <c r="V20" t="str" s="20">
        <v>https://v.douyin.com/JJ3p572/</v>
      </c>
    </row>
    <row r="21" ht="25" customHeight="1">
      <c r="A21" s="20"/>
      <c r="B21" s="21"/>
      <c r="C21" s="21"/>
      <c r="D21" t="str" s="20">
        <v>平台单</v>
      </c>
      <c r="E21" t="n" s="21">
        <f>(B20)*($B$61)</f>
        <v>4200</v>
      </c>
      <c r="F21" s="27"/>
      <c r="G21" t="str" s="20">
        <v>千川无视版</v>
      </c>
      <c r="H21" t="n" s="28">
        <f>(MAX($B$56,ROUNDUP(F20/10000,0)))*($B$54)</f>
        <v>880</v>
      </c>
      <c r="I21" s="22"/>
      <c r="J21" s="22"/>
      <c r="K21" s="22"/>
      <c r="L21" s="22"/>
      <c r="M21" s="28"/>
      <c r="N21" t="n" s="28">
        <f>SUM(H21,M20)</f>
        <v>1564</v>
      </c>
      <c r="O21" t="n" s="29">
        <f>N21/E21</f>
        <v>0.37238095238095237</v>
      </c>
      <c r="P21" t="n" s="28">
        <f>E21-N21</f>
        <v>2636</v>
      </c>
      <c r="Q21" t="n" s="29">
        <f>P21/(B20)</f>
        <v>0.43933333333333335</v>
      </c>
      <c r="R21" t="n" s="28">
        <f>P21*$B$71</f>
        <v>1713.4</v>
      </c>
      <c r="S21" t="n" s="29">
        <f>R21/(B20)</f>
        <v>0.2855666666666667</v>
      </c>
      <c r="T21" s="20"/>
      <c r="U21" s="20"/>
      <c r="V21" s="20"/>
    </row>
    <row r="22" ht="25" customHeight="1">
      <c r="A22" t="str" s="20">
        <v>lee小强</v>
      </c>
      <c r="B22" t="n" s="21">
        <v>4800</v>
      </c>
      <c r="C22" t="n" s="21">
        <v>2880</v>
      </c>
      <c r="D22" t="str" s="20">
        <v>私单</v>
      </c>
      <c r="E22" t="n" s="21">
        <f>(C22)*(1)</f>
        <v>2880</v>
      </c>
      <c r="F22" t="n" s="27">
        <f>ROUNDUP(B22*$B$62/$B$63*1000,0)</f>
        <v>128000</v>
      </c>
      <c r="G22" t="str" s="20">
        <v>普通千川</v>
      </c>
      <c r="H22" t="n" s="28">
        <f>(MAX($B$55,ROUNDUP(F22/10000,0)))*($B$53)</f>
        <v>273</v>
      </c>
      <c r="I22" t="n" s="22">
        <f>ROUNDUP(B22*$B$67/$B$66/1000,0)*1000</f>
        <v>8000</v>
      </c>
      <c r="J22" t="n" s="22">
        <f>ROUNDUP(B22*$B$68/$B$66/10,0)*10</f>
        <v>100</v>
      </c>
      <c r="K22" t="n" s="22">
        <f>ROUNDUP(B22*$B$69/$B$66/10,0)*10</f>
        <v>100</v>
      </c>
      <c r="L22" t="n" s="22">
        <f>ROUNDUP(B22*$B$70/$B$66/10,0)*10</f>
        <v>150</v>
      </c>
      <c r="M22" t="n" s="28">
        <f>I22/1000*$B$57+J22*$B$58+K22*$B$59+L22*$B$60</f>
        <v>600</v>
      </c>
      <c r="N22" t="n" s="28">
        <f>SUM(H22,M22)</f>
        <v>873</v>
      </c>
      <c r="O22" t="n" s="29">
        <f>N22/E22</f>
        <v>0.303125</v>
      </c>
      <c r="P22" t="n" s="28">
        <f>E22-N22</f>
        <v>2007</v>
      </c>
      <c r="Q22" t="n" s="29">
        <f>P22/(C22)</f>
        <v>0.696875</v>
      </c>
      <c r="R22" t="n" s="28">
        <f>P22*$B$71</f>
        <v>1304.55</v>
      </c>
      <c r="S22" t="n" s="29">
        <f>R22/(C22)</f>
        <v>0.45296875</v>
      </c>
      <c r="T22" t="str" s="20">
        <v>商光涵</v>
      </c>
      <c r="U22" t="str" s="20">
        <v>常规游戏账号</v>
      </c>
      <c r="V22" t="str" s="20">
        <v>https://v.douyin.com/ihb6eF8j/</v>
      </c>
    </row>
    <row r="23" ht="25" customHeight="1">
      <c r="A23" s="20"/>
      <c r="B23" s="21"/>
      <c r="C23" s="21"/>
      <c r="D23" t="str" s="20">
        <v>平台单</v>
      </c>
      <c r="E23" t="n" s="21">
        <f>(B22)*($B$61)</f>
        <v>3360</v>
      </c>
      <c r="F23" s="27"/>
      <c r="G23" t="str" s="20">
        <v>千川无视版</v>
      </c>
      <c r="H23" t="n" s="28">
        <f>(MAX($B$56,ROUNDUP(F22/10000,0)))*($B$54)</f>
        <v>715</v>
      </c>
      <c r="I23" s="22"/>
      <c r="J23" s="22"/>
      <c r="K23" s="22"/>
      <c r="L23" s="22"/>
      <c r="M23" s="28"/>
      <c r="N23" t="n" s="28">
        <f>SUM(H23,M22)</f>
        <v>1315</v>
      </c>
      <c r="O23" t="n" s="29">
        <f>N23/E23</f>
        <v>0.3913690476190476</v>
      </c>
      <c r="P23" t="n" s="28">
        <f>E23-N23</f>
        <v>2045</v>
      </c>
      <c r="Q23" t="n" s="29">
        <f>P23/(B22)</f>
        <v>0.42604166666666665</v>
      </c>
      <c r="R23" t="n" s="28">
        <f>P23*$B$71</f>
        <v>1329.25</v>
      </c>
      <c r="S23" t="n" s="29">
        <f>R23/(B22)</f>
        <v>0.2769270833333333</v>
      </c>
      <c r="T23" s="20"/>
      <c r="U23" s="20"/>
      <c r="V23" s="20"/>
    </row>
    <row r="24" ht="25" customHeight="1">
      <c r="A24" t="str" s="20">
        <v>不玩就分手</v>
      </c>
      <c r="B24" t="n" s="21">
        <v>3500</v>
      </c>
      <c r="C24" t="n" s="21">
        <v>2100</v>
      </c>
      <c r="D24" t="str" s="20">
        <v>私单</v>
      </c>
      <c r="E24" t="n" s="21">
        <f>(C24)*(1)</f>
        <v>2100</v>
      </c>
      <c r="F24" t="n" s="27">
        <f>ROUNDUP(B24*$B$62/$B$63*1000,0)</f>
        <v>93334</v>
      </c>
      <c r="G24" t="str" s="20">
        <v>普通千川</v>
      </c>
      <c r="H24" t="n" s="28">
        <f>(MAX($B$55,ROUNDUP(F24/10000,0)))*($B$53)</f>
        <v>210</v>
      </c>
      <c r="I24" t="n" s="22">
        <f>ROUNDUP(B24*$B$67/$B$66/1000,0)*1000</f>
        <v>6000</v>
      </c>
      <c r="J24" t="n" s="22">
        <f>ROUNDUP(B24*$B$68/$B$66/10,0)*10</f>
        <v>70</v>
      </c>
      <c r="K24" t="n" s="22">
        <f>ROUNDUP(B24*$B$69/$B$66/10,0)*10</f>
        <v>70</v>
      </c>
      <c r="L24" t="n" s="22">
        <f>ROUNDUP(B24*$B$70/$B$66/10,0)*10</f>
        <v>110</v>
      </c>
      <c r="M24" t="n" s="28">
        <f>I24/1000*$B$57+J24*$B$58+K24*$B$59+L24*$B$60</f>
        <v>445</v>
      </c>
      <c r="N24" t="n" s="28">
        <f>SUM(H24,M24)</f>
        <v>655</v>
      </c>
      <c r="O24" t="n" s="29">
        <f>N24/E24</f>
        <v>0.3119047619047619</v>
      </c>
      <c r="P24" t="n" s="28">
        <f>E24-N24</f>
        <v>1445</v>
      </c>
      <c r="Q24" t="n" s="29">
        <f>P24/(C24)</f>
        <v>0.6880952380952381</v>
      </c>
      <c r="R24" t="n" s="28">
        <f>P24*$B$71</f>
        <v>939.25</v>
      </c>
      <c r="S24" t="n" s="29">
        <f>R24/(C24)</f>
        <v>0.44726190476190475</v>
      </c>
      <c r="T24" t="str" s="20">
        <v>刘登魁</v>
      </c>
      <c r="U24" t="str" s="20">
        <v>常规游戏账号</v>
      </c>
      <c r="V24" t="str" s="20">
        <v> https://v.douyin.com/jTKED_9fV4A/</v>
      </c>
    </row>
    <row r="25" ht="25" customHeight="1">
      <c r="A25" s="20"/>
      <c r="B25" s="21"/>
      <c r="C25" s="21"/>
      <c r="D25" t="str" s="20">
        <v>平台单</v>
      </c>
      <c r="E25" t="n" s="21">
        <f>(B24)*($B$61)</f>
        <v>2450</v>
      </c>
      <c r="F25" s="27"/>
      <c r="G25" t="str" s="20">
        <v>千川无视版</v>
      </c>
      <c r="H25" t="n" s="28">
        <f>(MAX($B$56,ROUNDUP(F24/10000,0)))*($B$54)</f>
        <v>550</v>
      </c>
      <c r="I25" s="22"/>
      <c r="J25" s="22"/>
      <c r="K25" s="22"/>
      <c r="L25" s="22"/>
      <c r="M25" s="28"/>
      <c r="N25" t="n" s="28">
        <f>SUM(H25,M24)</f>
        <v>995</v>
      </c>
      <c r="O25" t="n" s="29">
        <f>N25/E25</f>
        <v>0.4061224489795918</v>
      </c>
      <c r="P25" t="n" s="28">
        <f>E25-N25</f>
        <v>1455</v>
      </c>
      <c r="Q25" t="n" s="29">
        <f>P25/(B24)</f>
        <v>0.4157142857142857</v>
      </c>
      <c r="R25" t="n" s="28">
        <f>P25*$B$71</f>
        <v>945.75</v>
      </c>
      <c r="S25" t="n" s="29">
        <f>R25/(B24)</f>
        <v>0.27021428571428574</v>
      </c>
      <c r="T25" s="20"/>
      <c r="U25" s="20"/>
      <c r="V25" s="20"/>
    </row>
    <row r="26" ht="25" customHeight="1">
      <c r="A26" t="str" s="20">
        <v>游梗要说</v>
      </c>
      <c r="B26" t="n" s="21">
        <v>7800</v>
      </c>
      <c r="C26" t="n" s="21">
        <v>4680</v>
      </c>
      <c r="D26" t="str" s="20">
        <v>私单</v>
      </c>
      <c r="E26" t="n" s="21">
        <f>(C26)*(1)</f>
        <v>4680</v>
      </c>
      <c r="F26" t="n" s="27">
        <f>ROUNDUP(B26*$B$62/$B$63*1000,0)</f>
        <v>208000</v>
      </c>
      <c r="G26" t="str" s="20">
        <v>普通千川</v>
      </c>
      <c r="H26" t="n" s="28">
        <f>(MAX($B$55,ROUNDUP(F26/10000,0)))*($B$53)</f>
        <v>441</v>
      </c>
      <c r="I26" t="n" s="22">
        <f>ROUNDUP(B26*$B$67/$B$66/1000,0)*1000</f>
        <v>12000</v>
      </c>
      <c r="J26" t="n" s="22">
        <f>ROUNDUP(B26*$B$68/$B$66/10,0)*10</f>
        <v>160</v>
      </c>
      <c r="K26" t="n" s="22">
        <f>ROUNDUP(B26*$B$69/$B$66/10,0)*10</f>
        <v>160</v>
      </c>
      <c r="L26" t="n" s="22">
        <f>ROUNDUP(B26*$B$70/$B$66/10,0)*10</f>
        <v>240</v>
      </c>
      <c r="M26" t="n" s="28">
        <f>I26/1000*$B$57+J26*$B$58+K26*$B$59+L26*$B$60</f>
        <v>912</v>
      </c>
      <c r="N26" t="n" s="28">
        <f>SUM(H26,M26)</f>
        <v>1353</v>
      </c>
      <c r="O26" t="n" s="29">
        <f>N26/E26</f>
        <v>0.28910256410256413</v>
      </c>
      <c r="P26" t="n" s="28">
        <f>E26-N26</f>
        <v>3327</v>
      </c>
      <c r="Q26" t="n" s="29">
        <f>P26/(C26)</f>
        <v>0.7108974358974359</v>
      </c>
      <c r="R26" t="n" s="28">
        <f>P26*$B$71</f>
        <v>2162.55</v>
      </c>
      <c r="S26" t="n" s="29">
        <f>R26/(C26)</f>
        <v>0.46208333333333335</v>
      </c>
      <c r="T26" t="str" s="20">
        <v>罗晓棋</v>
      </c>
      <c r="U26" t="str" s="20">
        <v>常规游戏账号</v>
      </c>
      <c r="V26" t="str" s="20">
        <v>https://www.douyin.com/user/MS4wLjABAAAAbRgpD5qO5M7mlI-ALMWDbsqjwiSeFC1WxNPKVgjsSCbFam1N0thGyVDw-PfRjICt</v>
      </c>
    </row>
    <row r="27" ht="25" customHeight="1">
      <c r="A27" s="20"/>
      <c r="B27" s="21"/>
      <c r="C27" s="21"/>
      <c r="D27" t="str" s="20">
        <v>平台单</v>
      </c>
      <c r="E27" t="n" s="21">
        <f>(B26)*($B$61)</f>
        <v>5460</v>
      </c>
      <c r="F27" s="27"/>
      <c r="G27" t="str" s="20">
        <v>千川无视版</v>
      </c>
      <c r="H27" t="n" s="28">
        <f>(MAX($B$56,ROUNDUP(F26/10000,0)))*($B$54)</f>
        <v>1155</v>
      </c>
      <c r="I27" s="22"/>
      <c r="J27" s="22"/>
      <c r="K27" s="22"/>
      <c r="L27" s="22"/>
      <c r="M27" s="28"/>
      <c r="N27" t="n" s="28">
        <f>SUM(H27,M26)</f>
        <v>2067</v>
      </c>
      <c r="O27" t="n" s="29">
        <f>N27/E27</f>
        <v>0.37857142857142856</v>
      </c>
      <c r="P27" t="n" s="28">
        <f>E27-N27</f>
        <v>3393</v>
      </c>
      <c r="Q27" t="n" s="29">
        <f>P27/(B26)</f>
        <v>0.435</v>
      </c>
      <c r="R27" t="n" s="28">
        <f>P27*$B$71</f>
        <v>2205.4500000000003</v>
      </c>
      <c r="S27" t="n" s="29">
        <f>R27/(B26)</f>
        <v>0.28275000000000006</v>
      </c>
      <c r="T27" s="20"/>
      <c r="U27" s="20"/>
      <c r="V27" s="20"/>
    </row>
    <row r="28" ht="25" customHeight="1">
      <c r="A28" t="str" s="20">
        <v>中二探长</v>
      </c>
      <c r="B28" t="n" s="21">
        <v>3750</v>
      </c>
      <c r="C28" t="n" s="21">
        <v>2250</v>
      </c>
      <c r="D28" t="str" s="20">
        <v>私单</v>
      </c>
      <c r="E28" t="n" s="21">
        <f>(C28)*(1)</f>
        <v>2250</v>
      </c>
      <c r="F28" t="n" s="27">
        <f>ROUNDUP(B28*$B$62/$B$63*1000,0)</f>
        <v>100000</v>
      </c>
      <c r="G28" t="str" s="20">
        <v>普通千川</v>
      </c>
      <c r="H28" t="n" s="28">
        <f>(MAX($B$55,ROUNDUP(F28/10000,0)))*($B$53)</f>
        <v>210</v>
      </c>
      <c r="I28" t="n" s="22">
        <f>ROUNDUP(B28*$B$67/$B$66/1000,0)*1000</f>
        <v>6000</v>
      </c>
      <c r="J28" t="n" s="22">
        <f>ROUNDUP(B28*$B$68/$B$66/10,0)*10</f>
        <v>80</v>
      </c>
      <c r="K28" t="n" s="22">
        <f>ROUNDUP(B28*$B$69/$B$66/10,0)*10</f>
        <v>80</v>
      </c>
      <c r="L28" t="n" s="22">
        <f>ROUNDUP(B28*$B$70/$B$66/10,0)*10</f>
        <v>120</v>
      </c>
      <c r="M28" t="n" s="28">
        <f>I28/1000*$B$57+J28*$B$58+K28*$B$59+L28*$B$60</f>
        <v>456</v>
      </c>
      <c r="N28" t="n" s="28">
        <f>SUM(H28,M28)</f>
        <v>666</v>
      </c>
      <c r="O28" t="n" s="29">
        <f>N28/E28</f>
        <v>0.296</v>
      </c>
      <c r="P28" t="n" s="28">
        <f>E28-N28</f>
        <v>1584</v>
      </c>
      <c r="Q28" t="n" s="29">
        <f>P28/(C28)</f>
        <v>0.704</v>
      </c>
      <c r="R28" t="n" s="28">
        <f>P28*$B$71</f>
        <v>1029.6000000000001</v>
      </c>
      <c r="S28" t="n" s="29">
        <f>R28/(C28)</f>
        <v>0.45760000000000006</v>
      </c>
      <c r="T28" t="str" s="20">
        <v>陈泓睿</v>
      </c>
      <c r="U28" t="str" s="20">
        <v>常规游戏账号</v>
      </c>
      <c r="V28" t="str" s="20">
        <v>https://v.douyin.com/mFA-j2xaAJY/</v>
      </c>
    </row>
    <row r="29" ht="25" customHeight="1">
      <c r="A29" s="20"/>
      <c r="B29" s="21"/>
      <c r="C29" s="21"/>
      <c r="D29" t="str" s="20">
        <v>平台单</v>
      </c>
      <c r="E29" t="n" s="21">
        <f>(B28)*($B$61)</f>
        <v>2625</v>
      </c>
      <c r="F29" s="27"/>
      <c r="G29" t="str" s="20">
        <v>千川无视版</v>
      </c>
      <c r="H29" t="n" s="28">
        <f>(MAX($B$56,ROUNDUP(F28/10000,0)))*($B$54)</f>
        <v>550</v>
      </c>
      <c r="I29" s="22"/>
      <c r="J29" s="22"/>
      <c r="K29" s="22"/>
      <c r="L29" s="22"/>
      <c r="M29" s="28"/>
      <c r="N29" t="n" s="28">
        <f>SUM(H29,M28)</f>
        <v>1006</v>
      </c>
      <c r="O29" t="n" s="29">
        <f>N29/E29</f>
        <v>0.3832380952380952</v>
      </c>
      <c r="P29" t="n" s="28">
        <f>E29-N29</f>
        <v>1619</v>
      </c>
      <c r="Q29" t="n" s="29">
        <f>P29/(B28)</f>
        <v>0.43173333333333336</v>
      </c>
      <c r="R29" t="n" s="28">
        <f>P29*$B$71</f>
        <v>1052.3500000000001</v>
      </c>
      <c r="S29" t="n" s="29">
        <f>R29/(B28)</f>
        <v>0.2806266666666667</v>
      </c>
      <c r="T29" s="20"/>
      <c r="U29" s="20"/>
      <c r="V29" s="20"/>
    </row>
    <row r="30" ht="25" customHeight="1">
      <c r="A30" t="str" s="20">
        <v>嘿小虎</v>
      </c>
      <c r="B30" t="n" s="21">
        <v>3000</v>
      </c>
      <c r="C30" t="n" s="21">
        <v>1800</v>
      </c>
      <c r="D30" t="str" s="20">
        <v>私单</v>
      </c>
      <c r="E30" t="n" s="21">
        <f>(C30)*(1)</f>
        <v>1800</v>
      </c>
      <c r="F30" t="n" s="27">
        <f>ROUNDUP(B30*$B$62/$B$63*1000,0)</f>
        <v>80000</v>
      </c>
      <c r="G30" t="str" s="20">
        <v>普通千川</v>
      </c>
      <c r="H30" t="n" s="28">
        <f>(MAX($B$55,ROUNDUP(F30/10000,0)))*($B$53)</f>
        <v>210</v>
      </c>
      <c r="I30" t="n" s="22">
        <f>ROUNDUP(B30*$B$67/$B$66/1000,0)*1000</f>
        <v>5000</v>
      </c>
      <c r="J30" t="n" s="22">
        <f>ROUNDUP(B30*$B$68/$B$66/10,0)*10</f>
        <v>60</v>
      </c>
      <c r="K30" t="n" s="22">
        <f>ROUNDUP(B30*$B$69/$B$66/10,0)*10</f>
        <v>60</v>
      </c>
      <c r="L30" t="n" s="22">
        <f>ROUNDUP(B30*$B$70/$B$66/10,0)*10</f>
        <v>90</v>
      </c>
      <c r="M30" t="n" s="28">
        <f>I30/1000*$B$57+J30*$B$58+K30*$B$59+L30*$B$60</f>
        <v>372</v>
      </c>
      <c r="N30" t="n" s="28">
        <f>SUM(H30,M30)</f>
        <v>582</v>
      </c>
      <c r="O30" t="n" s="29">
        <f>N30/E30</f>
        <v>0.3233333333333333</v>
      </c>
      <c r="P30" t="n" s="28">
        <f>E30-N30</f>
        <v>1218</v>
      </c>
      <c r="Q30" t="n" s="29">
        <f>P30/(C30)</f>
        <v>0.6766666666666666</v>
      </c>
      <c r="R30" t="n" s="28">
        <f>P30*$B$71</f>
        <v>791.7</v>
      </c>
      <c r="S30" t="n" s="29">
        <f>R30/(C30)</f>
        <v>0.43983333333333335</v>
      </c>
      <c r="T30" t="str" s="20">
        <v>陈泓睿</v>
      </c>
      <c r="U30" t="str" s="20">
        <v>常规游戏账号</v>
      </c>
      <c r="V30" t="str" s="20">
        <v>https://v.douyin.com/lIhi6TchbPw/</v>
      </c>
    </row>
    <row r="31" ht="25" customHeight="1">
      <c r="A31" s="20"/>
      <c r="B31" s="21"/>
      <c r="C31" s="21"/>
      <c r="D31" t="str" s="20">
        <v>平台单</v>
      </c>
      <c r="E31" t="n" s="21">
        <f>(B30)*($B$61)</f>
        <v>2100</v>
      </c>
      <c r="F31" s="27"/>
      <c r="G31" t="str" s="20">
        <v>千川无视版</v>
      </c>
      <c r="H31" t="n" s="28">
        <f>(MAX($B$56,ROUNDUP(F30/10000,0)))*($B$54)</f>
        <v>440</v>
      </c>
      <c r="I31" s="22"/>
      <c r="J31" s="22"/>
      <c r="K31" s="22"/>
      <c r="L31" s="22"/>
      <c r="M31" s="28"/>
      <c r="N31" t="n" s="28">
        <f>SUM(H31,M30)</f>
        <v>812</v>
      </c>
      <c r="O31" t="n" s="29">
        <f>N31/E31</f>
        <v>0.38666666666666666</v>
      </c>
      <c r="P31" t="n" s="28">
        <f>E31-N31</f>
        <v>1288</v>
      </c>
      <c r="Q31" t="n" s="29">
        <f>P31/(B30)</f>
        <v>0.42933333333333334</v>
      </c>
      <c r="R31" t="n" s="28">
        <f>P31*$B$71</f>
        <v>837.2</v>
      </c>
      <c r="S31" t="n" s="29">
        <f>R31/(B30)</f>
        <v>0.2790666666666667</v>
      </c>
      <c r="T31" s="20"/>
      <c r="U31" s="20"/>
      <c r="V31" s="20"/>
    </row>
    <row r="32" ht="25" customHeight="1">
      <c r="A32" t="str" s="20">
        <v>有事找学姐</v>
      </c>
      <c r="B32" t="n" s="21">
        <v>7150</v>
      </c>
      <c r="C32" t="n" s="21">
        <v>4290</v>
      </c>
      <c r="D32" t="str" s="20">
        <v>私单</v>
      </c>
      <c r="E32" t="n" s="21">
        <f>(C32)*(1)</f>
        <v>4290</v>
      </c>
      <c r="F32" t="n" s="27">
        <f>ROUNDUP(B32*$B$62/$B$63*1000,0)</f>
        <v>190667</v>
      </c>
      <c r="G32" t="str" s="20">
        <v>普通千川</v>
      </c>
      <c r="H32" t="n" s="28">
        <f>(MAX($B$55,ROUNDUP(F32/10000,0)))*($B$53)</f>
        <v>420</v>
      </c>
      <c r="I32" t="n" s="22">
        <f>ROUNDUP(B32*$B$67/$B$66/1000,0)*1000</f>
        <v>11000</v>
      </c>
      <c r="J32" t="n" s="22">
        <f>ROUNDUP(B32*$B$68/$B$66/10,0)*10</f>
        <v>150</v>
      </c>
      <c r="K32" t="n" s="22">
        <f>ROUNDUP(B32*$B$69/$B$66/10,0)*10</f>
        <v>150</v>
      </c>
      <c r="L32" t="n" s="22">
        <f>ROUNDUP(B32*$B$70/$B$66/10,0)*10</f>
        <v>220</v>
      </c>
      <c r="M32" t="n" s="28">
        <f>I32/1000*$B$57+J32*$B$58+K32*$B$59+L32*$B$60</f>
        <v>839</v>
      </c>
      <c r="N32" t="n" s="28">
        <f>SUM(H32,M32)</f>
        <v>1259</v>
      </c>
      <c r="O32" t="n" s="29">
        <f>N32/E32</f>
        <v>0.29347319347319345</v>
      </c>
      <c r="P32" t="n" s="28">
        <f>E32-N32</f>
        <v>3031</v>
      </c>
      <c r="Q32" t="n" s="29">
        <f>P32/(C32)</f>
        <v>0.7065268065268066</v>
      </c>
      <c r="R32" t="n" s="28">
        <f>P32*$B$71</f>
        <v>1970.15</v>
      </c>
      <c r="S32" t="n" s="29">
        <f>R32/(C32)</f>
        <v>0.4592424242424243</v>
      </c>
      <c r="T32" t="str" s="20">
        <v>林宇辰</v>
      </c>
      <c r="U32" t="str" s="20">
        <v>常规游戏账号</v>
      </c>
      <c r="V32" t="str" s="20">
        <v>https://v.douyin.com/ettSTTldPIc/</v>
      </c>
    </row>
    <row r="33" ht="25" customHeight="1">
      <c r="A33" s="20"/>
      <c r="B33" s="21"/>
      <c r="C33" s="21"/>
      <c r="D33" t="str" s="20">
        <v>平台单</v>
      </c>
      <c r="E33" t="n" s="21">
        <f>(B32)*($B$61)</f>
        <v>5005</v>
      </c>
      <c r="F33" s="27"/>
      <c r="G33" t="str" s="20">
        <v>千川无视版</v>
      </c>
      <c r="H33" t="n" s="28">
        <f>(MAX($B$56,ROUNDUP(F32/10000,0)))*($B$54)</f>
        <v>1100</v>
      </c>
      <c r="I33" s="22"/>
      <c r="J33" s="22"/>
      <c r="K33" s="22"/>
      <c r="L33" s="22"/>
      <c r="M33" s="28"/>
      <c r="N33" t="n" s="28">
        <f>SUM(H33,M32)</f>
        <v>1939</v>
      </c>
      <c r="O33" t="n" s="29">
        <f>N33/E33</f>
        <v>0.38741258741258744</v>
      </c>
      <c r="P33" t="n" s="28">
        <f>E33-N33</f>
        <v>3066</v>
      </c>
      <c r="Q33" t="n" s="29">
        <f>P33/(B32)</f>
        <v>0.4288111888111888</v>
      </c>
      <c r="R33" t="n" s="28">
        <f>P33*$B$71</f>
        <v>1992.9</v>
      </c>
      <c r="S33" t="n" s="29">
        <f>R33/(B32)</f>
        <v>0.2787272727272727</v>
      </c>
      <c r="T33" s="20"/>
      <c r="U33" s="20"/>
      <c r="V33" s="20"/>
    </row>
    <row r="34" ht="25" customHeight="1">
      <c r="A34" t="str" s="20">
        <v>游点慌</v>
      </c>
      <c r="B34" t="n" s="21">
        <v>7800</v>
      </c>
      <c r="C34" t="n" s="21">
        <v>4680</v>
      </c>
      <c r="D34" t="str" s="20">
        <v>私单</v>
      </c>
      <c r="E34" t="n" s="21">
        <f>(C34)*(1)</f>
        <v>4680</v>
      </c>
      <c r="F34" t="n" s="27">
        <f>ROUNDUP(B34*$B$62/$B$63*1000,0)</f>
        <v>208000</v>
      </c>
      <c r="G34" t="str" s="20">
        <v>普通千川</v>
      </c>
      <c r="H34" t="n" s="28">
        <f>(MAX($B$55,ROUNDUP(F34/10000,0)))*($B$53)</f>
        <v>441</v>
      </c>
      <c r="I34" t="n" s="22">
        <f>ROUNDUP(B34*$B$67/$B$66/1000,0)*1000</f>
        <v>12000</v>
      </c>
      <c r="J34" t="n" s="22">
        <f>ROUNDUP(B34*$B$68/$B$66/10,0)*10</f>
        <v>160</v>
      </c>
      <c r="K34" t="n" s="22">
        <f>ROUNDUP(B34*$B$69/$B$66/10,0)*10</f>
        <v>160</v>
      </c>
      <c r="L34" t="n" s="22">
        <f>ROUNDUP(B34*$B$70/$B$66/10,0)*10</f>
        <v>240</v>
      </c>
      <c r="M34" t="n" s="28">
        <f>I34/1000*$B$57+J34*$B$58+K34*$B$59+L34*$B$60</f>
        <v>912</v>
      </c>
      <c r="N34" t="n" s="28">
        <f>SUM(H34,M34)</f>
        <v>1353</v>
      </c>
      <c r="O34" t="n" s="29">
        <f>N34/E34</f>
        <v>0.28910256410256413</v>
      </c>
      <c r="P34" t="n" s="28">
        <f>E34-N34</f>
        <v>3327</v>
      </c>
      <c r="Q34" t="n" s="29">
        <f>P34/(C34)</f>
        <v>0.7108974358974359</v>
      </c>
      <c r="R34" t="n" s="28">
        <f>P34*$B$71</f>
        <v>2162.55</v>
      </c>
      <c r="S34" t="n" s="29">
        <f>R34/(C34)</f>
        <v>0.46208333333333335</v>
      </c>
      <c r="T34" t="str" s="20">
        <v>刘登魁</v>
      </c>
      <c r="U34" t="str" s="20">
        <v>常规游戏账号</v>
      </c>
      <c r="V34" t="str" s="20">
        <v>https://v.douyin.com/2hO1tem8Xhg/</v>
      </c>
    </row>
    <row r="35" ht="25" customHeight="1">
      <c r="A35" s="20"/>
      <c r="B35" s="21"/>
      <c r="C35" s="21"/>
      <c r="D35" t="str" s="20">
        <v>平台单</v>
      </c>
      <c r="E35" t="n" s="21">
        <f>(B34)*($B$61)</f>
        <v>5460</v>
      </c>
      <c r="F35" s="27"/>
      <c r="G35" t="str" s="20">
        <v>千川无视版</v>
      </c>
      <c r="H35" t="n" s="28">
        <f>(MAX($B$56,ROUNDUP(F34/10000,0)))*($B$54)</f>
        <v>1155</v>
      </c>
      <c r="I35" s="22"/>
      <c r="J35" s="22"/>
      <c r="K35" s="22"/>
      <c r="L35" s="22"/>
      <c r="M35" s="28"/>
      <c r="N35" t="n" s="28">
        <f>SUM(H35,M34)</f>
        <v>2067</v>
      </c>
      <c r="O35" t="n" s="29">
        <f>N35/E35</f>
        <v>0.37857142857142856</v>
      </c>
      <c r="P35" t="n" s="28">
        <f>E35-N35</f>
        <v>3393</v>
      </c>
      <c r="Q35" t="n" s="29">
        <f>P35/(B34)</f>
        <v>0.435</v>
      </c>
      <c r="R35" t="n" s="28">
        <f>P35*$B$71</f>
        <v>2205.4500000000003</v>
      </c>
      <c r="S35" t="n" s="29">
        <f>R35/(B34)</f>
        <v>0.28275000000000006</v>
      </c>
      <c r="T35" s="20"/>
      <c r="U35" s="20"/>
      <c r="V35" s="20"/>
    </row>
    <row r="36" ht="25" customHeight="1">
      <c r="A36" t="str" s="20">
        <v>饭十七</v>
      </c>
      <c r="B36" t="n" s="21">
        <v>7400</v>
      </c>
      <c r="C36" t="n" s="21">
        <v>4440</v>
      </c>
      <c r="D36" t="str" s="20">
        <v>私单</v>
      </c>
      <c r="E36" t="n" s="21">
        <f>(C36)*(1)</f>
        <v>4440</v>
      </c>
      <c r="F36" t="n" s="27">
        <f>ROUNDUP(B36*$B$62/$B$63*1000,0)</f>
        <v>197334</v>
      </c>
      <c r="G36" t="str" s="20">
        <v>普通千川</v>
      </c>
      <c r="H36" t="n" s="28">
        <f>(MAX($B$55,ROUNDUP(F36/10000,0)))*($B$53)</f>
        <v>420</v>
      </c>
      <c r="I36" t="n" s="22">
        <f>ROUNDUP(B36*$B$67/$B$66/1000,0)*1000</f>
        <v>12000</v>
      </c>
      <c r="J36" t="n" s="22">
        <f>ROUNDUP(B36*$B$68/$B$66/10,0)*10</f>
        <v>150</v>
      </c>
      <c r="K36" t="n" s="22">
        <f>ROUNDUP(B36*$B$69/$B$66/10,0)*10</f>
        <v>150</v>
      </c>
      <c r="L36" t="n" s="22">
        <f>ROUNDUP(B36*$B$70/$B$66/10,0)*10</f>
        <v>230</v>
      </c>
      <c r="M36" t="n" s="28">
        <f>I36/1000*$B$57+J36*$B$58+K36*$B$59+L36*$B$60</f>
        <v>901</v>
      </c>
      <c r="N36" t="n" s="28">
        <f>SUM(H36,M36)</f>
        <v>1321</v>
      </c>
      <c r="O36" t="n" s="29">
        <f>N36/E36</f>
        <v>0.29752252252252254</v>
      </c>
      <c r="P36" t="n" s="28">
        <f>E36-N36</f>
        <v>3119</v>
      </c>
      <c r="Q36" t="n" s="29">
        <f>P36/(C36)</f>
        <v>0.7024774774774775</v>
      </c>
      <c r="R36" t="n" s="28">
        <f>P36*$B$71</f>
        <v>2027.3500000000001</v>
      </c>
      <c r="S36" t="n" s="29">
        <f>R36/(C36)</f>
        <v>0.4566103603603604</v>
      </c>
      <c r="T36" t="str" s="20">
        <v>陈泓睿</v>
      </c>
      <c r="U36" t="str" s="20">
        <v>常规游戏账号</v>
      </c>
      <c r="V36" t="str" s="20">
        <v>https://v.douyin.com/m8vFSRuq1co/</v>
      </c>
    </row>
    <row r="37" ht="25" customHeight="1">
      <c r="A37" s="20"/>
      <c r="B37" s="21"/>
      <c r="C37" s="21"/>
      <c r="D37" t="str" s="20">
        <v>平台单</v>
      </c>
      <c r="E37" t="n" s="21">
        <f>(B36)*($B$61)</f>
        <v>5180</v>
      </c>
      <c r="F37" s="27"/>
      <c r="G37" t="str" s="20">
        <v>千川无视版</v>
      </c>
      <c r="H37" t="n" s="28">
        <f>(MAX($B$56,ROUNDUP(F36/10000,0)))*($B$54)</f>
        <v>1100</v>
      </c>
      <c r="I37" s="22"/>
      <c r="J37" s="22"/>
      <c r="K37" s="22"/>
      <c r="L37" s="22"/>
      <c r="M37" s="28"/>
      <c r="N37" t="n" s="28">
        <f>SUM(H37,M36)</f>
        <v>2001</v>
      </c>
      <c r="O37" t="n" s="29">
        <f>N37/E37</f>
        <v>0.3862934362934363</v>
      </c>
      <c r="P37" t="n" s="28">
        <f>E37-N37</f>
        <v>3179</v>
      </c>
      <c r="Q37" t="n" s="29">
        <f>P37/(B36)</f>
        <v>0.4295945945945946</v>
      </c>
      <c r="R37" t="n" s="28">
        <f>P37*$B$71</f>
        <v>2066.35</v>
      </c>
      <c r="S37" t="n" s="29">
        <f>R37/(B36)</f>
        <v>0.27923648648648647</v>
      </c>
      <c r="T37" s="20"/>
      <c r="U37" s="20"/>
      <c r="V37" s="20"/>
    </row>
    <row r="38" ht="25" customHeight="1">
      <c r="A38" t="str" s="20">
        <v>跑腿的包子</v>
      </c>
      <c r="B38" t="n" s="21">
        <v>7000</v>
      </c>
      <c r="C38" t="n" s="21">
        <v>4200</v>
      </c>
      <c r="D38" t="str" s="20">
        <v>私单</v>
      </c>
      <c r="E38" t="n" s="21">
        <f>(C38)*(1)</f>
        <v>4200</v>
      </c>
      <c r="F38" t="n" s="27">
        <f>ROUNDUP(B38*$B$62/$B$63*1000,0)</f>
        <v>186667</v>
      </c>
      <c r="G38" t="str" s="20">
        <v>普通千川</v>
      </c>
      <c r="H38" t="n" s="28">
        <f>(MAX($B$55,ROUNDUP(F38/10000,0)))*($B$53)</f>
        <v>399</v>
      </c>
      <c r="I38" t="n" s="22">
        <f>ROUNDUP(B38*$B$67/$B$66/1000,0)*1000</f>
        <v>11000</v>
      </c>
      <c r="J38" t="n" s="22">
        <f>ROUNDUP(B38*$B$68/$B$66/10,0)*10</f>
        <v>140</v>
      </c>
      <c r="K38" t="n" s="22">
        <f>ROUNDUP(B38*$B$69/$B$66/10,0)*10</f>
        <v>140</v>
      </c>
      <c r="L38" t="n" s="22">
        <f>ROUNDUP(B38*$B$70/$B$66/10,0)*10</f>
        <v>210</v>
      </c>
      <c r="M38" t="n" s="28">
        <f>I38/1000*$B$57+J38*$B$58+K38*$B$59+L38*$B$60</f>
        <v>828</v>
      </c>
      <c r="N38" t="n" s="28">
        <f>SUM(H38,M38)</f>
        <v>1227</v>
      </c>
      <c r="O38" t="n" s="29">
        <f>N38/E38</f>
        <v>0.29214285714285715</v>
      </c>
      <c r="P38" t="n" s="28">
        <f>E38-N38</f>
        <v>2973</v>
      </c>
      <c r="Q38" t="n" s="29">
        <f>P38/(C38)</f>
        <v>0.7078571428571429</v>
      </c>
      <c r="R38" t="n" s="28">
        <f>P38*$B$71</f>
        <v>1932.45</v>
      </c>
      <c r="S38" t="n" s="29">
        <f>R38/(C38)</f>
        <v>0.4601071428571429</v>
      </c>
      <c r="T38" t="str" s="20">
        <v>陈泓睿</v>
      </c>
      <c r="U38" t="str" s="20">
        <v>常规游戏账号</v>
      </c>
      <c r="V38" t="str" s="20">
        <v>https://v.douyin.com/Vva749Cn4Fk/</v>
      </c>
    </row>
    <row r="39" ht="25" customHeight="1">
      <c r="A39" s="20"/>
      <c r="B39" s="21"/>
      <c r="C39" s="21"/>
      <c r="D39" t="str" s="20">
        <v>平台单</v>
      </c>
      <c r="E39" t="n" s="21">
        <f>(B38)*($B$61)</f>
        <v>4900</v>
      </c>
      <c r="F39" s="27"/>
      <c r="G39" t="str" s="20">
        <v>千川无视版</v>
      </c>
      <c r="H39" t="n" s="28">
        <f>(MAX($B$56,ROUNDUP(F38/10000,0)))*($B$54)</f>
        <v>1045</v>
      </c>
      <c r="I39" s="22"/>
      <c r="J39" s="22"/>
      <c r="K39" s="22"/>
      <c r="L39" s="22"/>
      <c r="M39" s="28"/>
      <c r="N39" t="n" s="28">
        <f>SUM(H39,M38)</f>
        <v>1873</v>
      </c>
      <c r="O39" t="n" s="29">
        <f>N39/E39</f>
        <v>0.38224489795918365</v>
      </c>
      <c r="P39" t="n" s="28">
        <f>E39-N39</f>
        <v>3027</v>
      </c>
      <c r="Q39" t="n" s="29">
        <f>P39/(B38)</f>
        <v>0.43242857142857144</v>
      </c>
      <c r="R39" t="n" s="28">
        <f>P39*$B$71</f>
        <v>1967.55</v>
      </c>
      <c r="S39" t="n" s="29">
        <f>R39/(B38)</f>
        <v>0.2810785714285714</v>
      </c>
      <c r="T39" s="20"/>
      <c r="U39" s="20"/>
      <c r="V39" s="20"/>
    </row>
    <row r="40" ht="25" customHeight="1">
      <c r="A40" t="str" s="20">
        <v>游侠蹦蹦</v>
      </c>
      <c r="B40" t="n" s="21">
        <v>5000</v>
      </c>
      <c r="C40" t="n" s="21">
        <v>3000</v>
      </c>
      <c r="D40" t="str" s="20">
        <v>私单</v>
      </c>
      <c r="E40" t="n" s="21">
        <f>(C40)*(1)</f>
        <v>3000</v>
      </c>
      <c r="F40" t="n" s="27">
        <f>ROUNDUP(B40*$B$62/$B$63*1000,0)</f>
        <v>133334</v>
      </c>
      <c r="G40" t="str" s="20">
        <v>普通千川</v>
      </c>
      <c r="H40" t="n" s="28">
        <f>(MAX($B$55,ROUNDUP(F40/10000,0)))*($B$53)</f>
        <v>294</v>
      </c>
      <c r="I40" t="n" s="22">
        <f>ROUNDUP(B40*$B$67/$B$66/1000,0)*1000</f>
        <v>8000</v>
      </c>
      <c r="J40" t="n" s="22">
        <f>ROUNDUP(B40*$B$68/$B$66/10,0)*10</f>
        <v>100</v>
      </c>
      <c r="K40" t="n" s="22">
        <f>ROUNDUP(B40*$B$69/$B$66/10,0)*10</f>
        <v>100</v>
      </c>
      <c r="L40" t="n" s="22">
        <f>ROUNDUP(B40*$B$70/$B$66/10,0)*10</f>
        <v>150</v>
      </c>
      <c r="M40" t="n" s="28">
        <f>I40/1000*$B$57+J40*$B$58+K40*$B$59+L40*$B$60</f>
        <v>600</v>
      </c>
      <c r="N40" t="n" s="28">
        <f>SUM(H40,M40)</f>
        <v>894</v>
      </c>
      <c r="O40" t="n" s="29">
        <f>N40/E40</f>
        <v>0.298</v>
      </c>
      <c r="P40" t="n" s="28">
        <f>E40-N40</f>
        <v>2106</v>
      </c>
      <c r="Q40" t="n" s="29">
        <f>P40/(C40)</f>
        <v>0.702</v>
      </c>
      <c r="R40" t="n" s="28">
        <f>P40*$B$71</f>
        <v>1368.9</v>
      </c>
      <c r="S40" t="n" s="29">
        <f>R40/(C40)</f>
        <v>0.45630000000000004</v>
      </c>
      <c r="T40" t="str" s="20">
        <v>刘登魁</v>
      </c>
      <c r="U40" t="str" s="20">
        <v>星广联投为主</v>
      </c>
      <c r="V40" t="str" s="20">
        <v>https://v.douyin.com/dO7_tPj7Mgo/ </v>
      </c>
    </row>
    <row r="41" ht="25" customHeight="1">
      <c r="A41" s="20"/>
      <c r="B41" s="21"/>
      <c r="C41" s="21"/>
      <c r="D41" t="str" s="20">
        <v>平台单</v>
      </c>
      <c r="E41" t="n" s="21">
        <f>(B40)*($B$61)</f>
        <v>3500</v>
      </c>
      <c r="F41" s="27"/>
      <c r="G41" t="str" s="20">
        <v>千川无视版</v>
      </c>
      <c r="H41" t="n" s="28">
        <f>(MAX($B$56,ROUNDUP(F40/10000,0)))*($B$54)</f>
        <v>770</v>
      </c>
      <c r="I41" s="22"/>
      <c r="J41" s="22"/>
      <c r="K41" s="22"/>
      <c r="L41" s="22"/>
      <c r="M41" s="28"/>
      <c r="N41" t="n" s="28">
        <f>SUM(H41,M40)</f>
        <v>1370</v>
      </c>
      <c r="O41" t="n" s="29">
        <f>N41/E41</f>
        <v>0.3914285714285714</v>
      </c>
      <c r="P41" t="n" s="28">
        <f>E41-N41</f>
        <v>2130</v>
      </c>
      <c r="Q41" t="n" s="29">
        <f>P41/(B40)</f>
        <v>0.426</v>
      </c>
      <c r="R41" t="n" s="28">
        <f>P41*$B$71</f>
        <v>1384.5</v>
      </c>
      <c r="S41" t="n" s="29">
        <f>R41/(B40)</f>
        <v>0.2769</v>
      </c>
      <c r="T41" s="20"/>
      <c r="U41" s="20"/>
      <c r="V41" s="20"/>
    </row>
    <row r="42" ht="25" customHeight="1">
      <c r="A42" t="str" s="20">
        <v>夏洛</v>
      </c>
      <c r="B42" t="n" s="21">
        <v>5000</v>
      </c>
      <c r="C42" t="n" s="21">
        <v>3000</v>
      </c>
      <c r="D42" t="str" s="20">
        <v>私单</v>
      </c>
      <c r="E42" t="n" s="21">
        <f>(C42)*(1)</f>
        <v>3000</v>
      </c>
      <c r="F42" t="n" s="27">
        <f>ROUNDUP(B42*$B$62/$B$63*1000,0)</f>
        <v>133334</v>
      </c>
      <c r="G42" t="str" s="20">
        <v>普通千川</v>
      </c>
      <c r="H42" t="n" s="28">
        <f>(MAX($B$55,ROUNDUP(F42/10000,0)))*($B$53)</f>
        <v>294</v>
      </c>
      <c r="I42" t="n" s="22">
        <f>ROUNDUP(B42*$B$67/$B$66/1000,0)*1000</f>
        <v>8000</v>
      </c>
      <c r="J42" t="n" s="22">
        <f>ROUNDUP(B42*$B$68/$B$66/10,0)*10</f>
        <v>100</v>
      </c>
      <c r="K42" t="n" s="22">
        <f>ROUNDUP(B42*$B$69/$B$66/10,0)*10</f>
        <v>100</v>
      </c>
      <c r="L42" t="n" s="22">
        <f>ROUNDUP(B42*$B$70/$B$66/10,0)*10</f>
        <v>150</v>
      </c>
      <c r="M42" t="n" s="28">
        <f>I42/1000*$B$57+J42*$B$58+K42*$B$59+L42*$B$60</f>
        <v>600</v>
      </c>
      <c r="N42" t="n" s="28">
        <f>SUM(H42,M42)</f>
        <v>894</v>
      </c>
      <c r="O42" t="n" s="29">
        <f>N42/E42</f>
        <v>0.298</v>
      </c>
      <c r="P42" t="n" s="28">
        <f>E42-N42</f>
        <v>2106</v>
      </c>
      <c r="Q42" t="n" s="29">
        <f>P42/(C42)</f>
        <v>0.702</v>
      </c>
      <c r="R42" t="n" s="28">
        <f>P42*$B$71</f>
        <v>1368.9</v>
      </c>
      <c r="S42" t="n" s="29">
        <f>R42/(C42)</f>
        <v>0.45630000000000004</v>
      </c>
      <c r="T42" t="str" s="20">
        <v>刘登魁</v>
      </c>
      <c r="U42" t="str" s="20">
        <v>星广联投为主</v>
      </c>
      <c r="V42" t="str" s="20">
        <v>https://v.douyin.com/wq_9XvcbfS0/</v>
      </c>
    </row>
    <row r="43" ht="25" customHeight="1">
      <c r="A43" s="20"/>
      <c r="B43" s="21"/>
      <c r="C43" s="21"/>
      <c r="D43" t="str" s="20">
        <v>平台单</v>
      </c>
      <c r="E43" t="n" s="21">
        <f>(B42)*($B$61)</f>
        <v>3500</v>
      </c>
      <c r="F43" s="27"/>
      <c r="G43" t="str" s="20">
        <v>千川无视版</v>
      </c>
      <c r="H43" t="n" s="28">
        <f>(MAX($B$56,ROUNDUP(F42/10000,0)))*($B$54)</f>
        <v>770</v>
      </c>
      <c r="I43" s="22"/>
      <c r="J43" s="22"/>
      <c r="K43" s="22"/>
      <c r="L43" s="22"/>
      <c r="M43" s="28"/>
      <c r="N43" t="n" s="28">
        <f>SUM(H43,M42)</f>
        <v>1370</v>
      </c>
      <c r="O43" t="n" s="29">
        <f>N43/E43</f>
        <v>0.3914285714285714</v>
      </c>
      <c r="P43" t="n" s="28">
        <f>E43-N43</f>
        <v>2130</v>
      </c>
      <c r="Q43" t="n" s="29">
        <f>P43/(B42)</f>
        <v>0.426</v>
      </c>
      <c r="R43" t="n" s="28">
        <f>P43*$B$71</f>
        <v>1384.5</v>
      </c>
      <c r="S43" t="n" s="29">
        <f>R43/(B42)</f>
        <v>0.2769</v>
      </c>
      <c r="T43" s="20"/>
      <c r="U43" s="20"/>
      <c r="V43" s="20"/>
    </row>
    <row r="44" ht="25" customHeight="1">
      <c r="A44" t="str" s="20">
        <v>畅玩百晓生</v>
      </c>
      <c r="B44" t="n" s="21">
        <v>5000</v>
      </c>
      <c r="C44" t="n" s="21">
        <v>3000</v>
      </c>
      <c r="D44" t="str" s="20">
        <v>私单</v>
      </c>
      <c r="E44" t="n" s="21">
        <f>(C44)*(1)</f>
        <v>3000</v>
      </c>
      <c r="F44" t="n" s="27">
        <f>ROUNDUP(B44*$B$62/$B$63*1000,0)</f>
        <v>133334</v>
      </c>
      <c r="G44" t="str" s="20">
        <v>普通千川</v>
      </c>
      <c r="H44" t="n" s="28">
        <f>(MAX($B$55,ROUNDUP(F44/10000,0)))*($B$53)</f>
        <v>294</v>
      </c>
      <c r="I44" t="n" s="22">
        <f>ROUNDUP(B44*$B$67/$B$66/1000,0)*1000</f>
        <v>8000</v>
      </c>
      <c r="J44" t="n" s="22">
        <f>ROUNDUP(B44*$B$68/$B$66/10,0)*10</f>
        <v>100</v>
      </c>
      <c r="K44" t="n" s="22">
        <f>ROUNDUP(B44*$B$69/$B$66/10,0)*10</f>
        <v>100</v>
      </c>
      <c r="L44" t="n" s="22">
        <f>ROUNDUP(B44*$B$70/$B$66/10,0)*10</f>
        <v>150</v>
      </c>
      <c r="M44" t="n" s="28">
        <f>I44/1000*$B$57+J44*$B$58+K44*$B$59+L44*$B$60</f>
        <v>600</v>
      </c>
      <c r="N44" t="n" s="28">
        <f>SUM(H44,M44)</f>
        <v>894</v>
      </c>
      <c r="O44" t="n" s="29">
        <f>N44/E44</f>
        <v>0.298</v>
      </c>
      <c r="P44" t="n" s="28">
        <f>E44-N44</f>
        <v>2106</v>
      </c>
      <c r="Q44" t="n" s="29">
        <f>P44/(C44)</f>
        <v>0.702</v>
      </c>
      <c r="R44" t="n" s="28">
        <f>P44*$B$71</f>
        <v>1368.9</v>
      </c>
      <c r="S44" t="n" s="29">
        <f>R44/(C44)</f>
        <v>0.45630000000000004</v>
      </c>
      <c r="T44" t="str" s="20">
        <v>刘登魁</v>
      </c>
      <c r="U44" t="str" s="20">
        <v>星广联投为主</v>
      </c>
      <c r="V44" t="str" s="20">
        <v>https://v.douyin.com/jTTVNutNIRQ/</v>
      </c>
    </row>
    <row r="45" ht="25" customHeight="1">
      <c r="A45" s="20"/>
      <c r="B45" s="21"/>
      <c r="C45" s="21"/>
      <c r="D45" t="str" s="20">
        <v>平台单</v>
      </c>
      <c r="E45" t="n" s="21">
        <f>(B44)*($B$61)</f>
        <v>3500</v>
      </c>
      <c r="F45" s="27"/>
      <c r="G45" t="str" s="20">
        <v>千川无视版</v>
      </c>
      <c r="H45" t="n" s="28">
        <f>(MAX($B$56,ROUNDUP(F44/10000,0)))*($B$54)</f>
        <v>770</v>
      </c>
      <c r="I45" s="22"/>
      <c r="J45" s="22"/>
      <c r="K45" s="22"/>
      <c r="L45" s="22"/>
      <c r="M45" s="28"/>
      <c r="N45" t="n" s="28">
        <f>SUM(H45,M44)</f>
        <v>1370</v>
      </c>
      <c r="O45" t="n" s="29">
        <f>N45/E45</f>
        <v>0.3914285714285714</v>
      </c>
      <c r="P45" t="n" s="28">
        <f>E45-N45</f>
        <v>2130</v>
      </c>
      <c r="Q45" t="n" s="29">
        <f>P45/(B44)</f>
        <v>0.426</v>
      </c>
      <c r="R45" t="n" s="28">
        <f>P45*$B$71</f>
        <v>1384.5</v>
      </c>
      <c r="S45" t="n" s="29">
        <f>R45/(B44)</f>
        <v>0.2769</v>
      </c>
      <c r="T45" s="20"/>
      <c r="U45" s="20"/>
      <c r="V45" s="20"/>
    </row>
    <row r="46" ht="25" customHeight="1">
      <c r="A46" t="str" s="20">
        <v>游戏永动机</v>
      </c>
      <c r="B46" t="n" s="21">
        <v>5000</v>
      </c>
      <c r="C46" t="n" s="21">
        <v>3000</v>
      </c>
      <c r="D46" t="str" s="20">
        <v>私单</v>
      </c>
      <c r="E46" t="n" s="21">
        <f>(C46)*(1)</f>
        <v>3000</v>
      </c>
      <c r="F46" t="n" s="27">
        <f>ROUNDUP(B46*$B$62/$B$63*1000,0)</f>
        <v>133334</v>
      </c>
      <c r="G46" t="str" s="20">
        <v>普通千川</v>
      </c>
      <c r="H46" t="n" s="28">
        <f>(MAX($B$55,ROUNDUP(F46/10000,0)))*($B$53)</f>
        <v>294</v>
      </c>
      <c r="I46" t="n" s="22">
        <f>ROUNDUP(B46*$B$67/$B$66/1000,0)*1000</f>
        <v>8000</v>
      </c>
      <c r="J46" t="n" s="22">
        <f>ROUNDUP(B46*$B$68/$B$66/10,0)*10</f>
        <v>100</v>
      </c>
      <c r="K46" t="n" s="22">
        <f>ROUNDUP(B46*$B$69/$B$66/10,0)*10</f>
        <v>100</v>
      </c>
      <c r="L46" t="n" s="22">
        <f>ROUNDUP(B46*$B$70/$B$66/10,0)*10</f>
        <v>150</v>
      </c>
      <c r="M46" t="n" s="28">
        <f>I46/1000*$B$57+J46*$B$58+K46*$B$59+L46*$B$60</f>
        <v>600</v>
      </c>
      <c r="N46" t="n" s="28">
        <f>SUM(H46,M46)</f>
        <v>894</v>
      </c>
      <c r="O46" t="n" s="29">
        <f>N46/E46</f>
        <v>0.298</v>
      </c>
      <c r="P46" t="n" s="28">
        <f>E46-N46</f>
        <v>2106</v>
      </c>
      <c r="Q46" t="n" s="29">
        <f>P46/(C46)</f>
        <v>0.702</v>
      </c>
      <c r="R46" t="n" s="28">
        <f>P46*$B$71</f>
        <v>1368.9</v>
      </c>
      <c r="S46" t="n" s="29">
        <f>R46/(C46)</f>
        <v>0.45630000000000004</v>
      </c>
      <c r="T46" t="str" s="20">
        <v>刘登魁</v>
      </c>
      <c r="U46" t="str" s="20">
        <v>星广联投为主</v>
      </c>
      <c r="V46" t="str" s="20">
        <v>https://v.douyin.com/c2M4VXTdIvM/</v>
      </c>
    </row>
    <row r="47" ht="25" customHeight="1">
      <c r="A47" s="20"/>
      <c r="B47" s="21"/>
      <c r="C47" s="21"/>
      <c r="D47" t="str" s="20">
        <v>平台单</v>
      </c>
      <c r="E47" t="n" s="21">
        <f>(B46)*($B$61)</f>
        <v>3500</v>
      </c>
      <c r="F47" s="27"/>
      <c r="G47" t="str" s="20">
        <v>千川无视版</v>
      </c>
      <c r="H47" t="n" s="28">
        <f>(MAX($B$56,ROUNDUP(F46/10000,0)))*($B$54)</f>
        <v>770</v>
      </c>
      <c r="I47" s="22"/>
      <c r="J47" s="22"/>
      <c r="K47" s="22"/>
      <c r="L47" s="22"/>
      <c r="M47" s="28"/>
      <c r="N47" t="n" s="28">
        <f>SUM(H47,M46)</f>
        <v>1370</v>
      </c>
      <c r="O47" t="n" s="29">
        <f>N47/E47</f>
        <v>0.3914285714285714</v>
      </c>
      <c r="P47" t="n" s="28">
        <f>E47-N47</f>
        <v>2130</v>
      </c>
      <c r="Q47" t="n" s="29">
        <f>P47/(B46)</f>
        <v>0.426</v>
      </c>
      <c r="R47" t="n" s="28">
        <f>P47*$B$71</f>
        <v>1384.5</v>
      </c>
      <c r="S47" t="n" s="29">
        <f>R47/(B46)</f>
        <v>0.2769</v>
      </c>
      <c r="T47" s="20"/>
      <c r="U47" s="20"/>
      <c r="V47" s="20"/>
    </row>
    <row r="48" ht="25" customHeight="1">
      <c r="A48" t="str" s="20">
        <v>皮皮说游戏</v>
      </c>
      <c r="B48" t="n" s="21">
        <v>5500</v>
      </c>
      <c r="C48" t="n" s="21">
        <v>3300</v>
      </c>
      <c r="D48" t="str" s="20">
        <v>私单</v>
      </c>
      <c r="E48" t="n" s="21">
        <f>(C48)*(1)</f>
        <v>3300</v>
      </c>
      <c r="F48" t="n" s="27">
        <f>ROUNDUP(B48*$B$62/$B$63*1000,0)</f>
        <v>146667</v>
      </c>
      <c r="G48" t="str" s="20">
        <v>普通千川</v>
      </c>
      <c r="H48" t="n" s="28">
        <f>(MAX($B$55,ROUNDUP(F48/10000,0)))*($B$53)</f>
        <v>315</v>
      </c>
      <c r="I48" t="n" s="22">
        <f>ROUNDUP(B48*$B$67/$B$66/1000,0)*1000</f>
        <v>9000</v>
      </c>
      <c r="J48" t="n" s="22">
        <f>ROUNDUP(B48*$B$68/$B$66/10,0)*10</f>
        <v>110</v>
      </c>
      <c r="K48" t="n" s="22">
        <f>ROUNDUP(B48*$B$69/$B$66/10,0)*10</f>
        <v>110</v>
      </c>
      <c r="L48" t="n" s="22">
        <f>ROUNDUP(B48*$B$70/$B$66/10,0)*10</f>
        <v>170</v>
      </c>
      <c r="M48" t="n" s="28">
        <f>I48/1000*$B$57+J48*$B$58+K48*$B$59+L48*$B$60</f>
        <v>673</v>
      </c>
      <c r="N48" t="n" s="28">
        <f>SUM(H48,M48)</f>
        <v>988</v>
      </c>
      <c r="O48" t="n" s="29">
        <f>N48/E48</f>
        <v>0.2993939393939394</v>
      </c>
      <c r="P48" t="n" s="28">
        <f>E48-N48</f>
        <v>2312</v>
      </c>
      <c r="Q48" t="n" s="29">
        <f>P48/(C48)</f>
        <v>0.7006060606060606</v>
      </c>
      <c r="R48" t="n" s="28">
        <f>P48*$B$71</f>
        <v>1502.8</v>
      </c>
      <c r="S48" t="n" s="29">
        <f>R48/(C48)</f>
        <v>0.4553939393939394</v>
      </c>
      <c r="T48" t="str" s="20">
        <v>陈泓睿</v>
      </c>
      <c r="U48" t="str" s="20">
        <v>星广联投为主</v>
      </c>
      <c r="V48" t="str" s="20">
        <v>https://v.douyin.com/iSUabqnS/</v>
      </c>
    </row>
    <row r="49" ht="25" customHeight="1">
      <c r="A49" s="20"/>
      <c r="B49" s="21"/>
      <c r="C49" s="21"/>
      <c r="D49" t="str" s="20">
        <v>平台单</v>
      </c>
      <c r="E49" t="n" s="21">
        <f>(B48)*($B$61)</f>
        <v>3849.9999999999995</v>
      </c>
      <c r="F49" s="27"/>
      <c r="G49" t="str" s="20">
        <v>千川无视版</v>
      </c>
      <c r="H49" t="n" s="28">
        <f>(MAX($B$56,ROUNDUP(F48/10000,0)))*($B$54)</f>
        <v>825</v>
      </c>
      <c r="I49" s="22"/>
      <c r="J49" s="22"/>
      <c r="K49" s="22"/>
      <c r="L49" s="22"/>
      <c r="M49" s="28"/>
      <c r="N49" t="n" s="28">
        <f>SUM(H49,M48)</f>
        <v>1498</v>
      </c>
      <c r="O49" t="n" s="29">
        <f>N49/E49</f>
        <v>0.38909090909090915</v>
      </c>
      <c r="P49" t="n" s="28">
        <f>E49-N49</f>
        <v>2351.9999999999995</v>
      </c>
      <c r="Q49" t="n" s="29">
        <f>P49/(B48)</f>
        <v>0.42763636363636354</v>
      </c>
      <c r="R49" t="n" s="28">
        <f>P49*$B$71</f>
        <v>1528.7999999999997</v>
      </c>
      <c r="S49" t="n" s="29">
        <f>R49/(B48)</f>
        <v>0.2779636363636363</v>
      </c>
      <c r="T49" s="20"/>
      <c r="U49" s="20"/>
      <c r="V49" s="20"/>
    </row>
    <row r="50" ht="25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</row>
    <row r="51" ht="25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</row>
    <row r="52" ht="25" customHeight="1">
      <c r="A52" s="11" t="str">
        <v>参数</v>
      </c>
      <c r="B52" s="11" t="str">
        <v>数值</v>
      </c>
      <c r="C52" s="11" t="str">
        <v>单位 / 来源</v>
      </c>
      <c r="D52" s="11"/>
      <c r="E52" s="11" t="str">
        <v>来源与口径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25" customHeight="1">
      <c r="A53" s="20" t="str">
        <v>私单千川</v>
      </c>
      <c r="B53" s="20" t="n">
        <v>21</v>
      </c>
      <c r="C53" s="20" t="str">
        <v>元/万；工作台，2026-09-14</v>
      </c>
      <c r="D53" s="9"/>
      <c r="E53" s="9" t="str">
        <v>账号与报价：【内容事业部】自孵化账号询单信息.xlsx，抖音页A/D/I/L/M/P列；原表更新2026-09-11。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25" customHeight="1">
      <c r="A54" s="20" t="str">
        <v>平台千川无视版</v>
      </c>
      <c r="B54" s="20" t="n">
        <v>55</v>
      </c>
      <c r="C54" s="20" t="str">
        <v>元/万；工作台，2026-09-14</v>
      </c>
      <c r="D54" s="9"/>
      <c r="E54" s="9" t="str">
        <v>价格：style-library/gross-margin/douyin.json，采用启用项unitPrice；未采用旧note中的价格。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25" customHeight="1">
      <c r="A55" s="20" t="str">
        <v>私单千川起量</v>
      </c>
      <c r="B55" s="20" t="n">
        <v>10</v>
      </c>
      <c r="C55" s="20" t="str">
        <v>万；工作台</v>
      </c>
      <c r="D55" s="9"/>
      <c r="E55" s="9" t="str">
        <v>模板：自孵化维护标准.xlsx，维护标准页J/K/P/R—U列。互动量按定制刊例价缩放为本次建议。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25" customHeight="1">
      <c r="A56" s="20" t="str">
        <v>平台千川起量</v>
      </c>
      <c r="B56" s="20" t="n">
        <v>5</v>
      </c>
      <c r="C56" s="20" t="str">
        <v>万；工作台</v>
      </c>
      <c r="D56" s="9"/>
      <c r="E56" s="9" t="str">
        <v>5个星广联投账号仍纳入，但本次仅按用户指定的私单/平台七折两种规则，不采用原表可谈深折条款。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25" customHeight="1">
      <c r="A57" s="20" t="str">
        <v>点赞（科技）</v>
      </c>
      <c r="B57" s="20" t="n">
        <v>60</v>
      </c>
      <c r="C57" s="20" t="str">
        <v>元/千；工作台unitPrice</v>
      </c>
      <c r="D57" s="9"/>
      <c r="E57" s="9" t="str">
        <v>毛利计算沿用工作台：成交价－维护成本；集团毛利率以折前下单基准为分母，部门毛利为集团毛利×65%。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25" customHeight="1">
      <c r="A58" s="20" t="str">
        <v>自定义评论</v>
      </c>
      <c r="B58" s="20" t="n">
        <v>0.8</v>
      </c>
      <c r="C58" s="20" t="str">
        <v>元/个；工作台unitPrice</v>
      </c>
      <c r="D58" s="9"/>
      <c r="E58" s="9" t="str">
        <v>维护费按完整目标预算，实际执行先减自然数据再核算；中位数未作为可购买或已实现数量。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25" customHeight="1">
      <c r="A59" s="20" t="str">
        <v>收藏</v>
      </c>
      <c r="B59" s="20" t="n">
        <v>0.1</v>
      </c>
      <c r="C59" s="20" t="str">
        <v>元/个；工作台unitPrice</v>
      </c>
      <c r="D59" s="9"/>
      <c r="E59" s="9" t="str">
        <v>空缺实际数据不填零。当前表用于逐账号制定预算，不代表历史表现、平台验收承诺或已完成维护。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25" customHeight="1">
      <c r="A60" s="20" t="str">
        <v>转发</v>
      </c>
      <c r="B60" s="20" t="n">
        <v>0.2</v>
      </c>
      <c r="C60" s="20" t="str">
        <v>元/个；工作台unitPrice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25" customHeight="1">
      <c r="A61" s="20" t="str">
        <v>平台结算折扣</v>
      </c>
      <c r="B61" s="20" t="n">
        <v>0.7</v>
      </c>
      <c r="C61" s="20" t="str">
        <v>用户要求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25" customHeight="1">
      <c r="A62" s="20" t="str">
        <v>播放系数</v>
      </c>
      <c r="B62" s="20" t="n">
        <v>0.8</v>
      </c>
      <c r="C62" s="20" t="str">
        <v>大号模板J列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25" customHeight="1">
      <c r="A63" s="20" t="str">
        <v>目标播放CPM</v>
      </c>
      <c r="B63" s="20" t="n">
        <v>30</v>
      </c>
      <c r="C63" s="20" t="str">
        <v>元/千次；大号模板J列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25" customHeight="1">
      <c r="A64" s="20" t="str">
        <v>星图观察CPM</v>
      </c>
      <c r="B64" s="20" t="n">
        <v>200</v>
      </c>
      <c r="C64" s="20" t="str">
        <v>大号模板K列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25" customHeight="1">
      <c r="A65" s="20" t="str">
        <v>星图观察系数</v>
      </c>
      <c r="B65" s="20" t="n">
        <v>1.5</v>
      </c>
      <c r="C65" s="20" t="str">
        <v>大号模板K列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25" customHeight="1">
      <c r="A66" s="20" t="str">
        <v>互动档基准报价</v>
      </c>
      <c r="B66" s="20" t="n">
        <v>10000</v>
      </c>
      <c r="C66" s="20" t="str">
        <v>元；大号模板1万元档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25" customHeight="1">
      <c r="A67" s="20" t="str">
        <v>点赞基准</v>
      </c>
      <c r="B67" s="20" t="n">
        <v>15000</v>
      </c>
      <c r="C67" s="20" t="str">
        <v>个；模板15×18中的15为千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25" customHeight="1">
      <c r="A68" s="20" t="str">
        <v>评论基准</v>
      </c>
      <c r="B68" s="20" t="n">
        <v>200</v>
      </c>
      <c r="C68" s="20" t="str">
        <v>个；大号模板P列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25" customHeight="1">
      <c r="A69" s="20" t="str">
        <v>收藏基准</v>
      </c>
      <c r="B69" s="20" t="n">
        <v>200</v>
      </c>
      <c r="C69" s="20" t="str">
        <v>个；大号模板P列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t="str" s="20">
        <v>转发基准</v>
      </c>
      <c r="B70" s="20" t="n">
        <v>300</v>
      </c>
      <c r="C70" t="str" s="20">
        <v>个；大号模板P列</v>
      </c>
    </row>
    <row r="71">
      <c r="A71" t="str" s="20">
        <v>部门分成比例</v>
      </c>
      <c r="B71" s="20" t="n">
        <v>0.65</v>
      </c>
      <c r="C71" t="str" s="20">
        <v>沿用大号模板T列</v>
      </c>
    </row>
  </sheetData>
  <mergeCells count="250">
    <mergeCell ref="A1:V1"/>
    <mergeCell ref="E52:O52"/>
    <mergeCell ref="E53:V53"/>
    <mergeCell ref="E54:V54"/>
    <mergeCell ref="E55:V55"/>
    <mergeCell ref="E56:V56"/>
    <mergeCell ref="E57:V57"/>
    <mergeCell ref="E58:V58"/>
    <mergeCell ref="E59:V59"/>
    <mergeCell ref="A2:V7"/>
    <mergeCell ref="A10:A11"/>
    <mergeCell ref="B10:B11"/>
    <mergeCell ref="C10:C11"/>
    <mergeCell ref="F10:F11"/>
    <mergeCell ref="I10:I11"/>
    <mergeCell ref="J10:J11"/>
    <mergeCell ref="K10:K11"/>
    <mergeCell ref="L10:L11"/>
    <mergeCell ref="M10:M11"/>
    <mergeCell ref="T10:T11"/>
    <mergeCell ref="U10:U11"/>
    <mergeCell ref="V10:V11"/>
    <mergeCell ref="A12:A13"/>
    <mergeCell ref="B12:B13"/>
    <mergeCell ref="C12:C13"/>
    <mergeCell ref="F12:F13"/>
    <mergeCell ref="I12:I13"/>
    <mergeCell ref="J12:J13"/>
    <mergeCell ref="K12:K13"/>
    <mergeCell ref="L12:L13"/>
    <mergeCell ref="M12:M13"/>
    <mergeCell ref="T12:T13"/>
    <mergeCell ref="U12:U13"/>
    <mergeCell ref="V12:V13"/>
    <mergeCell ref="A14:A15"/>
    <mergeCell ref="B14:B15"/>
    <mergeCell ref="C14:C15"/>
    <mergeCell ref="F14:F15"/>
    <mergeCell ref="I14:I15"/>
    <mergeCell ref="J14:J15"/>
    <mergeCell ref="K14:K15"/>
    <mergeCell ref="L14:L15"/>
    <mergeCell ref="M14:M15"/>
    <mergeCell ref="T14:T15"/>
    <mergeCell ref="U14:U15"/>
    <mergeCell ref="V14:V15"/>
    <mergeCell ref="A16:A17"/>
    <mergeCell ref="B16:B17"/>
    <mergeCell ref="C16:C17"/>
    <mergeCell ref="F16:F17"/>
    <mergeCell ref="I16:I17"/>
    <mergeCell ref="J16:J17"/>
    <mergeCell ref="K16:K17"/>
    <mergeCell ref="L16:L17"/>
    <mergeCell ref="M16:M17"/>
    <mergeCell ref="T16:T17"/>
    <mergeCell ref="U16:U17"/>
    <mergeCell ref="V16:V17"/>
    <mergeCell ref="A18:A19"/>
    <mergeCell ref="B18:B19"/>
    <mergeCell ref="C18:C19"/>
    <mergeCell ref="F18:F19"/>
    <mergeCell ref="I18:I19"/>
    <mergeCell ref="J18:J19"/>
    <mergeCell ref="K18:K19"/>
    <mergeCell ref="L18:L19"/>
    <mergeCell ref="M18:M19"/>
    <mergeCell ref="T18:T19"/>
    <mergeCell ref="U18:U19"/>
    <mergeCell ref="V18:V19"/>
    <mergeCell ref="A20:A21"/>
    <mergeCell ref="B20:B21"/>
    <mergeCell ref="C20:C21"/>
    <mergeCell ref="F20:F21"/>
    <mergeCell ref="I20:I21"/>
    <mergeCell ref="J20:J21"/>
    <mergeCell ref="K20:K21"/>
    <mergeCell ref="L20:L21"/>
    <mergeCell ref="M20:M21"/>
    <mergeCell ref="T20:T21"/>
    <mergeCell ref="U20:U21"/>
    <mergeCell ref="V20:V21"/>
    <mergeCell ref="A22:A23"/>
    <mergeCell ref="B22:B23"/>
    <mergeCell ref="C22:C23"/>
    <mergeCell ref="F22:F23"/>
    <mergeCell ref="I22:I23"/>
    <mergeCell ref="J22:J23"/>
    <mergeCell ref="K22:K23"/>
    <mergeCell ref="L22:L23"/>
    <mergeCell ref="M22:M23"/>
    <mergeCell ref="T22:T23"/>
    <mergeCell ref="U22:U23"/>
    <mergeCell ref="V22:V23"/>
    <mergeCell ref="A24:A25"/>
    <mergeCell ref="B24:B25"/>
    <mergeCell ref="C24:C25"/>
    <mergeCell ref="F24:F25"/>
    <mergeCell ref="I24:I25"/>
    <mergeCell ref="J24:J25"/>
    <mergeCell ref="K24:K25"/>
    <mergeCell ref="L24:L25"/>
    <mergeCell ref="M24:M25"/>
    <mergeCell ref="T24:T25"/>
    <mergeCell ref="U24:U25"/>
    <mergeCell ref="V24:V25"/>
    <mergeCell ref="A26:A27"/>
    <mergeCell ref="B26:B27"/>
    <mergeCell ref="C26:C27"/>
    <mergeCell ref="F26:F27"/>
    <mergeCell ref="I26:I27"/>
    <mergeCell ref="J26:J27"/>
    <mergeCell ref="K26:K27"/>
    <mergeCell ref="L26:L27"/>
    <mergeCell ref="M26:M27"/>
    <mergeCell ref="T26:T27"/>
    <mergeCell ref="U26:U27"/>
    <mergeCell ref="V26:V27"/>
    <mergeCell ref="A28:A29"/>
    <mergeCell ref="B28:B29"/>
    <mergeCell ref="C28:C29"/>
    <mergeCell ref="F28:F29"/>
    <mergeCell ref="I28:I29"/>
    <mergeCell ref="J28:J29"/>
    <mergeCell ref="K28:K29"/>
    <mergeCell ref="L28:L29"/>
    <mergeCell ref="M28:M29"/>
    <mergeCell ref="T28:T29"/>
    <mergeCell ref="U28:U29"/>
    <mergeCell ref="V28:V29"/>
    <mergeCell ref="A30:A31"/>
    <mergeCell ref="B30:B31"/>
    <mergeCell ref="C30:C31"/>
    <mergeCell ref="F30:F31"/>
    <mergeCell ref="I30:I31"/>
    <mergeCell ref="J30:J31"/>
    <mergeCell ref="K30:K31"/>
    <mergeCell ref="L30:L31"/>
    <mergeCell ref="M30:M31"/>
    <mergeCell ref="T30:T31"/>
    <mergeCell ref="U30:U31"/>
    <mergeCell ref="V30:V31"/>
    <mergeCell ref="A32:A33"/>
    <mergeCell ref="B32:B33"/>
    <mergeCell ref="C32:C33"/>
    <mergeCell ref="F32:F33"/>
    <mergeCell ref="I32:I33"/>
    <mergeCell ref="J32:J33"/>
    <mergeCell ref="K32:K33"/>
    <mergeCell ref="L32:L33"/>
    <mergeCell ref="M32:M33"/>
    <mergeCell ref="T32:T33"/>
    <mergeCell ref="U32:U33"/>
    <mergeCell ref="V32:V33"/>
    <mergeCell ref="A34:A35"/>
    <mergeCell ref="B34:B35"/>
    <mergeCell ref="C34:C35"/>
    <mergeCell ref="F34:F35"/>
    <mergeCell ref="I34:I35"/>
    <mergeCell ref="J34:J35"/>
    <mergeCell ref="K34:K35"/>
    <mergeCell ref="L34:L35"/>
    <mergeCell ref="M34:M35"/>
    <mergeCell ref="T34:T35"/>
    <mergeCell ref="U34:U35"/>
    <mergeCell ref="V34:V35"/>
    <mergeCell ref="A36:A37"/>
    <mergeCell ref="B36:B37"/>
    <mergeCell ref="C36:C37"/>
    <mergeCell ref="F36:F37"/>
    <mergeCell ref="I36:I37"/>
    <mergeCell ref="J36:J37"/>
    <mergeCell ref="K36:K37"/>
    <mergeCell ref="L36:L37"/>
    <mergeCell ref="M36:M37"/>
    <mergeCell ref="T36:T37"/>
    <mergeCell ref="U36:U37"/>
    <mergeCell ref="V36:V37"/>
    <mergeCell ref="A38:A39"/>
    <mergeCell ref="B38:B39"/>
    <mergeCell ref="C38:C39"/>
    <mergeCell ref="F38:F39"/>
    <mergeCell ref="I38:I39"/>
    <mergeCell ref="J38:J39"/>
    <mergeCell ref="K38:K39"/>
    <mergeCell ref="L38:L39"/>
    <mergeCell ref="M38:M39"/>
    <mergeCell ref="T38:T39"/>
    <mergeCell ref="U38:U39"/>
    <mergeCell ref="V38:V39"/>
    <mergeCell ref="A40:A41"/>
    <mergeCell ref="B40:B41"/>
    <mergeCell ref="C40:C41"/>
    <mergeCell ref="F40:F41"/>
    <mergeCell ref="I40:I41"/>
    <mergeCell ref="J40:J41"/>
    <mergeCell ref="K40:K41"/>
    <mergeCell ref="L40:L41"/>
    <mergeCell ref="M40:M41"/>
    <mergeCell ref="T40:T41"/>
    <mergeCell ref="U40:U41"/>
    <mergeCell ref="V40:V41"/>
    <mergeCell ref="A42:A43"/>
    <mergeCell ref="B42:B43"/>
    <mergeCell ref="C42:C43"/>
    <mergeCell ref="F42:F43"/>
    <mergeCell ref="I42:I43"/>
    <mergeCell ref="J42:J43"/>
    <mergeCell ref="K42:K43"/>
    <mergeCell ref="L42:L43"/>
    <mergeCell ref="M42:M43"/>
    <mergeCell ref="T42:T43"/>
    <mergeCell ref="U42:U43"/>
    <mergeCell ref="V42:V43"/>
    <mergeCell ref="A44:A45"/>
    <mergeCell ref="B44:B45"/>
    <mergeCell ref="C44:C45"/>
    <mergeCell ref="F44:F45"/>
    <mergeCell ref="I44:I45"/>
    <mergeCell ref="J44:J45"/>
    <mergeCell ref="K44:K45"/>
    <mergeCell ref="L44:L45"/>
    <mergeCell ref="M44:M45"/>
    <mergeCell ref="T44:T45"/>
    <mergeCell ref="U44:U45"/>
    <mergeCell ref="V44:V45"/>
    <mergeCell ref="A46:A47"/>
    <mergeCell ref="B46:B47"/>
    <mergeCell ref="C46:C47"/>
    <mergeCell ref="F46:F47"/>
    <mergeCell ref="I46:I47"/>
    <mergeCell ref="J46:J47"/>
    <mergeCell ref="K46:K47"/>
    <mergeCell ref="L46:L47"/>
    <mergeCell ref="M46:M47"/>
    <mergeCell ref="T46:T47"/>
    <mergeCell ref="U46:U47"/>
    <mergeCell ref="V46:V47"/>
    <mergeCell ref="A48:A49"/>
    <mergeCell ref="B48:B49"/>
    <mergeCell ref="C48:C49"/>
    <mergeCell ref="F48:F49"/>
    <mergeCell ref="I48:I49"/>
    <mergeCell ref="J48:J49"/>
    <mergeCell ref="K48:K49"/>
    <mergeCell ref="L48:L49"/>
    <mergeCell ref="M48:M49"/>
    <mergeCell ref="T48:T49"/>
    <mergeCell ref="U48:U49"/>
    <mergeCell ref="V48:V4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2026-09-15T21:03:16Z</dcterms:created>
  <dcterms:modified xsi:type="dcterms:W3CDTF">2026-09-15T21:03:16Z</dcterms:modified>
</cp:coreProperties>
</file>