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800" activeTab="2"/>
  </bookViews>
  <sheets>
    <sheet name="抖音大号维护标准" sheetId="1" r:id="rId1"/>
    <sheet name="抖音小号维护标准" sheetId="2" r:id="rId2"/>
    <sheet name="维护参数" sheetId="3" r:id="rId3"/>
  </sheets>
  <definedNames>
    <definedName name="_xlnm._FilterDatabase" localSheetId="1" hidden="1">抖音小号维护标准!$A$9:$Y$55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<sst xmlns="http://schemas.openxmlformats.org/spreadsheetml/2006/main" count="632" uniqueCount="171">
  <si>
    <t>【MCN事业部】抖音大号维护标准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</si>
  <si>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</si>
  <si>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账号</t>
  </si>
  <si>
    <t>8月植入报价</t>
  </si>
  <si>
    <t>8月定制报价</t>
  </si>
  <si>
    <t>预期播放量</t>
  </si>
  <si>
    <t>预期CPM</t>
  </si>
  <si>
    <t>星图中位数
（30天）</t>
  </si>
  <si>
    <t>9月植入报价
（定制价格*70%）</t>
  </si>
  <si>
    <t>9月定制报价</t>
  </si>
  <si>
    <t>涨价比例</t>
  </si>
  <si>
    <t>目标
柱状图播放量
（定制CPM30）</t>
  </si>
  <si>
    <t>目标
星图中位数
（30天）</t>
  </si>
  <si>
    <t>抖加费用
（CPM17）</t>
  </si>
  <si>
    <t>抖加费用
（CPM20）</t>
  </si>
  <si>
    <t>柱状图播放量缺口</t>
  </si>
  <si>
    <t>千川费用
（CPM5.5）</t>
  </si>
  <si>
    <t>HKJ互动</t>
  </si>
  <si>
    <t>总维护成本</t>
  </si>
  <si>
    <t>7折+数据维护后
集团毛利</t>
  </si>
  <si>
    <t>集团毛利率</t>
  </si>
  <si>
    <t>部门毛利</t>
  </si>
  <si>
    <t>部门毛利率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</si>
  <si>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</si>
  <si>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</si>
  <si>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</si>
  <si>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</si>
  <si>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</si>
  <si>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</si>
  <si>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</si>
  <si>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【MCN事业部】抖音小号维护标准</t>
  </si>
  <si>
    <t>私单按询单表私单价格，不额外折扣；平台单按各账号定制刊例报价×70%
播放目标沿用大号模板：定制基准×80%÷30×1000。按完整目标预留千川费用，不将星图中位数当成已实现播放扣减。</t>
  </si>
  <si>
    <t>负责人</t>
  </si>
  <si>
    <t>定制
刊例价</t>
  </si>
  <si>
    <t>私单
报价</t>
  </si>
  <si>
    <t>涨价定制
刊例价</t>
  </si>
  <si>
    <t>涨价私单
报价</t>
  </si>
  <si>
    <t>订单
类型</t>
  </si>
  <si>
    <t>成交价</t>
  </si>
  <si>
    <t>目标播放量
（次）</t>
  </si>
  <si>
    <t>千川版本</t>
  </si>
  <si>
    <t>千川
费用</t>
  </si>
  <si>
    <t>点赞</t>
  </si>
  <si>
    <t>评论</t>
  </si>
  <si>
    <t>收藏</t>
  </si>
  <si>
    <t>转发</t>
  </si>
  <si>
    <t>互动
费用</t>
  </si>
  <si>
    <t>总维护
成本</t>
  </si>
  <si>
    <t>维护费
占成交价</t>
  </si>
  <si>
    <t>集团
毛利</t>
  </si>
  <si>
    <t>集团毛利率
（占折前报价）</t>
  </si>
  <si>
    <t>部门
毛利</t>
  </si>
  <si>
    <t>部门毛利率
（占折前报价）</t>
  </si>
  <si>
    <t>备注</t>
  </si>
  <si>
    <t>主页链接</t>
  </si>
  <si>
    <t>薛定谔的机</t>
  </si>
  <si>
    <t>薛荐轩</t>
  </si>
  <si>
    <t>/</t>
  </si>
  <si>
    <t>私单</t>
  </si>
  <si>
    <t>普通千川</t>
  </si>
  <si>
    <t>真人</t>
  </si>
  <si>
    <r>
      <rPr>
        <u/>
        <sz val="10"/>
        <color rgb="FF267EF0"/>
        <rFont val="Helvetica Neue"/>
        <charset val="134"/>
      </rPr>
      <t>https://v.douyin.com/dcP3cOC30h4/</t>
    </r>
  </si>
  <si>
    <t>平台单</t>
  </si>
  <si>
    <t>千川无视版</t>
  </si>
  <si>
    <t>花满楼</t>
  </si>
  <si>
    <t>陈健伊</t>
  </si>
  <si>
    <t>建议降价</t>
  </si>
  <si>
    <r>
      <rPr>
        <u/>
        <sz val="10"/>
        <color rgb="FF267EF0"/>
        <rFont val="Helvetica Neue"/>
        <charset val="134"/>
      </rPr>
      <t>https://v.douyin.com/SAEJqgoPkrY/</t>
    </r>
  </si>
  <si>
    <t>麦小雯</t>
  </si>
  <si>
    <r>
      <rPr>
        <u/>
        <sz val="10"/>
        <color rgb="FF267EF0"/>
        <rFont val="等线"/>
        <charset val="134"/>
      </rPr>
      <t>https://v.douyin.com/DcH2brXPgvc/</t>
    </r>
  </si>
  <si>
    <t>葵仔不想肝</t>
  </si>
  <si>
    <t>刘登魁</t>
  </si>
  <si>
    <r>
      <rPr>
        <u/>
        <sz val="10"/>
        <color rgb="FF267EF0"/>
        <rFont val="等线"/>
        <charset val="134"/>
      </rPr>
      <t>https://v.douyin.com/38Scd6JrG_s/</t>
    </r>
  </si>
  <si>
    <t>游热娃子</t>
  </si>
  <si>
    <t>杨鸿霆</t>
  </si>
  <si>
    <t>数据好</t>
  </si>
  <si>
    <r>
      <rPr>
        <u/>
        <sz val="10"/>
        <color rgb="FF267EF0"/>
        <rFont val="等线"/>
        <charset val="134"/>
      </rPr>
      <t>https://v.douyin.com/JmcvjVd/</t>
    </r>
  </si>
  <si>
    <t>游小妹</t>
  </si>
  <si>
    <r>
      <rPr>
        <u/>
        <sz val="10"/>
        <color rgb="FF267EF0"/>
        <rFont val="等线"/>
        <charset val="134"/>
      </rPr>
      <t>https://v.douyin.com/JmcXQpY/</t>
    </r>
  </si>
  <si>
    <t>灵梦小师妹</t>
  </si>
  <si>
    <t>林宇辰</t>
  </si>
  <si>
    <t>王者</t>
  </si>
  <si>
    <r>
      <rPr>
        <u/>
        <sz val="10"/>
        <color rgb="FF267EF0"/>
        <rFont val="等线"/>
        <charset val="134"/>
      </rPr>
      <t>https://www.douyin.com/user/MS4wLjABAAAAJfqON1LDmWBPlUXvQ-iwZ6AZLbLuIj72uGiFUuot89k</t>
    </r>
  </si>
  <si>
    <t>超玩教授</t>
  </si>
  <si>
    <t>商光涵</t>
  </si>
  <si>
    <t>需改封面+隐藏</t>
  </si>
  <si>
    <r>
      <rPr>
        <u/>
        <sz val="10"/>
        <color rgb="FF267EF0"/>
        <rFont val="等线"/>
        <charset val="134"/>
      </rPr>
      <t>https://v.douyin.com/JJ3p572/</t>
    </r>
  </si>
  <si>
    <t>lee小强</t>
  </si>
  <si>
    <r>
      <rPr>
        <u/>
        <sz val="10"/>
        <color rgb="FF267EF0"/>
        <rFont val="等线"/>
        <charset val="134"/>
      </rPr>
      <t>https://v.douyin.com/ihb6eF8j/</t>
    </r>
  </si>
  <si>
    <t>不玩就分手</t>
  </si>
  <si>
    <r>
      <rPr>
        <u/>
        <sz val="10"/>
        <color rgb="FF267EF0"/>
        <rFont val="等线"/>
        <charset val="134"/>
      </rPr>
      <t xml:space="preserve"> https://v.douyin.com/jTKED_9fV4A/</t>
    </r>
  </si>
  <si>
    <t>游梗要说</t>
  </si>
  <si>
    <t>罗晓棋</t>
  </si>
  <si>
    <r>
      <rPr>
        <u/>
        <sz val="10"/>
        <color rgb="FF267EF0"/>
        <rFont val="等线"/>
        <charset val="134"/>
      </rPr>
      <t>https://www.douyin.com/user/MS4wLjABAAAAbRgpD5qO5M7mlI-ALMWDbsqjwiSeFC1WxNPKVgjsSCbFam1N0thGyVDw-PfRjICt</t>
    </r>
  </si>
  <si>
    <t>中二探长</t>
  </si>
  <si>
    <t>陈泓睿</t>
  </si>
  <si>
    <r>
      <rPr>
        <u/>
        <sz val="10"/>
        <color rgb="FF267EF0"/>
        <rFont val="等线"/>
        <charset val="134"/>
      </rPr>
      <t>https://v.douyin.com/mFA-j2xaAJY/</t>
    </r>
  </si>
  <si>
    <t>嘿小虎</t>
  </si>
  <si>
    <t>逆水寒-之前
需改封面+隐藏</t>
  </si>
  <si>
    <r>
      <rPr>
        <u/>
        <sz val="10"/>
        <color rgb="FF267EF0"/>
        <rFont val="等线"/>
        <charset val="134"/>
      </rPr>
      <t>https://v.douyin.com/lIhi6TchbPw/</t>
    </r>
  </si>
  <si>
    <t>有事找学姐</t>
  </si>
  <si>
    <r>
      <rPr>
        <u/>
        <sz val="10"/>
        <color rgb="FF267EF0"/>
        <rFont val="等线"/>
        <charset val="134"/>
      </rPr>
      <t>https://v.douyin.com/ettSTTldPIc/</t>
    </r>
  </si>
  <si>
    <t>跑腿的包子</t>
  </si>
  <si>
    <t>分发-精选激励</t>
  </si>
  <si>
    <r>
      <rPr>
        <u/>
        <sz val="10"/>
        <color rgb="FF267EF0"/>
        <rFont val="等线"/>
        <charset val="134"/>
      </rPr>
      <t>https://v.douyin.com/Vva749Cn4Fk/</t>
    </r>
  </si>
  <si>
    <t>皮皮说游戏</t>
  </si>
  <si>
    <t>星广</t>
  </si>
  <si>
    <r>
      <rPr>
        <u/>
        <sz val="10"/>
        <color rgb="FF267EF0"/>
        <rFont val="等线"/>
        <charset val="134"/>
      </rPr>
      <t>https://v.douyin.com/iSUabqnS/</t>
    </r>
  </si>
  <si>
    <t>夏洛</t>
  </si>
  <si>
    <r>
      <rPr>
        <u/>
        <sz val="10"/>
        <color rgb="FF267EF0"/>
        <rFont val="等线"/>
        <charset val="134"/>
      </rPr>
      <t>https://v.douyin.com/wq_9XvcbfS0/</t>
    </r>
  </si>
  <si>
    <t>畅玩百晓生</t>
  </si>
  <si>
    <r>
      <rPr>
        <u/>
        <sz val="10"/>
        <color rgb="FF267EF0"/>
        <rFont val="等线"/>
        <charset val="134"/>
      </rPr>
      <t>https://v.douyin.com/jTTVNutNIRQ/</t>
    </r>
  </si>
  <si>
    <t>游戏永动机</t>
  </si>
  <si>
    <r>
      <rPr>
        <u/>
        <sz val="10"/>
        <color rgb="FF267EF0"/>
        <rFont val="等线"/>
        <charset val="134"/>
      </rPr>
      <t>https://v.douyin.com/c2M4VXTdIvM/</t>
    </r>
  </si>
  <si>
    <t>游点慌</t>
  </si>
  <si>
    <t>逆水寒</t>
  </si>
  <si>
    <r>
      <rPr>
        <u/>
        <sz val="10"/>
        <color rgb="FF267EF0"/>
        <rFont val="等线"/>
        <charset val="134"/>
      </rPr>
      <t>https://v.douyin.com/2hO1tem8Xhg/</t>
    </r>
  </si>
  <si>
    <t>饭十七</t>
  </si>
  <si>
    <r>
      <rPr>
        <u/>
        <sz val="10"/>
        <color rgb="FF267EF0"/>
        <rFont val="等线"/>
        <charset val="134"/>
      </rPr>
      <t>https://v.douyin.com/m8vFSRuq1co/</t>
    </r>
  </si>
  <si>
    <t>游侠蹦蹦</t>
  </si>
  <si>
    <r>
      <rPr>
        <u/>
        <sz val="10"/>
        <color rgb="FF267EF0"/>
        <rFont val="等线"/>
        <charset val="134"/>
      </rPr>
      <t>https://v.douyin.com/dO7_tPj7Mgo/</t>
    </r>
    <r>
      <rPr>
        <sz val="10"/>
        <color rgb="FF000000"/>
        <rFont val="等线"/>
        <charset val="134"/>
      </rPr>
      <t xml:space="preserve"> </t>
    </r>
  </si>
  <si>
    <t>【内容事业部】抖音大号补充维护标准</t>
  </si>
  <si>
    <t>补充口径：私单与平台单分别列示，原大号方案及小号内容不改。定制价取原大号页9月定制价，私单价取询单表。
点赞数量严格保留原大号标准：花无缺3万、最游话说2万、报告砖家3万、策划克星阿强1.5万、天机妹3万、木游话说2万、麦冬冬1.5万。
其余补充指标及现行维护单价沿用上版；费用和毛利随点赞数量同步重算。此区为补充明细，不替换上方原有抖加方案。</t>
  </si>
  <si>
    <t>补充建议</t>
  </si>
  <si>
    <t>https://v.douyin.com/C5JU9cqYOws/</t>
  </si>
  <si>
    <t>https://v.douyin.com/HijEyTLwoTI/</t>
  </si>
  <si>
    <t>傅思敏</t>
  </si>
  <si>
    <t>https://www.douyin.com/user/MS4wLjABAAAAHG9cg-IDIYJ1sjp3HR9euh2VTxgzVzy1H_s4S3UkPZQ</t>
  </si>
  <si>
    <t>曹媛</t>
  </si>
  <si>
    <t>https://v.douyin.com/iMNwFGjT/</t>
  </si>
  <si>
    <t>https://v.douyin.com/iDDL4Xvs/</t>
  </si>
  <si>
    <t>https://v.douyin.com/iNUg9M29/</t>
  </si>
  <si>
    <t>https://v.douyin.com/iNvCP4uJ/</t>
  </si>
  <si>
    <t>【内容事业部】抖音游戏类小号维护标准</t>
  </si>
  <si>
    <t>封面+隐藏</t>
  </si>
  <si>
    <t>逆水寒-之前</t>
  </si>
  <si>
    <t>参数</t>
  </si>
  <si>
    <t>数值</t>
  </si>
  <si>
    <t>单位 / 来源</t>
  </si>
  <si>
    <t>私单千川</t>
  </si>
  <si>
    <t>元/万；</t>
  </si>
  <si>
    <t>平台千川无视版</t>
  </si>
  <si>
    <t>私单千川起量</t>
  </si>
  <si>
    <t>万</t>
  </si>
  <si>
    <t>平台千川起量</t>
  </si>
  <si>
    <t>点赞（科技）</t>
  </si>
  <si>
    <t>元/千次；</t>
  </si>
  <si>
    <t>自定义评论</t>
  </si>
  <si>
    <t>元/个；</t>
  </si>
  <si>
    <t>定制对客折扣</t>
  </si>
  <si>
    <t>折扣换算</t>
  </si>
  <si>
    <t>目标播放CPM</t>
  </si>
  <si>
    <t>星图观察CPM</t>
  </si>
  <si>
    <t>星图观察系数</t>
  </si>
  <si>
    <t>互动档基准报价</t>
  </si>
  <si>
    <t>元；</t>
  </si>
  <si>
    <t>点赞基准</t>
  </si>
  <si>
    <t>个；</t>
  </si>
  <si>
    <t>评论基准</t>
  </si>
  <si>
    <t>收藏基准</t>
  </si>
  <si>
    <t>转发基准</t>
  </si>
  <si>
    <t>部门分成比例</t>
  </si>
  <si>
    <t>沿用大号模板T列</t>
  </si>
  <si>
    <t>来源与口径</t>
  </si>
  <si>
    <t>账号与报价：【内容事业部】自孵化账号询单信息.xlsx，抖音页A/D/I/L/M/P列；原表更新2026-09-11。</t>
  </si>
  <si>
    <t>价格：style-library/gross-margin/douyin.json，采用启用项unitPrice；未采用旧note中的价格。</t>
  </si>
  <si>
    <t>模板：自孵化维护标准.xlsx，维护标准页J/K/P/R—U列。互动量按定制刊例价缩放为本次建议。</t>
  </si>
  <si>
    <t>5个星广联投账号仍纳入，但本次仅按用户指定的私单/平台七折两种规则，不采用原表可谈深折条款。</t>
  </si>
  <si>
    <t>毛利计算沿用工作台：成交价－维护成本；集团毛利率以折前下单基准为分母，部门毛利为集团毛利×65%。</t>
  </si>
  <si>
    <t>维护费按完整目标预算，实际执行先减自然数据再核算；中位数未作为可购买或已实现数量。</t>
  </si>
  <si>
    <t>空缺实际数据不填零。当前表用于逐账号制定预算，不代表历史表现、平台验收承诺或已完成维护。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</si>
</sst>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_);[Red]\(&quot;￥&quot;#,##0\)"/>
    <numFmt numFmtId="177" formatCode="_ * #,##0_ ;_ * \-#,##0_ ;_ * &quot;-&quot;??_ ;_ @_ "/>
    <numFmt numFmtId="178" formatCode="&quot;￥&quot;#,##0.0_);[Red]\(&quot;￥&quot;#,##0.0\)"/>
  </numFmts>
  <fonts count="31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等线"/>
      <charset val="134"/>
    </font>
    <font>
      <b/>
      <sz val="22"/>
      <color rgb="FFFFFFFF"/>
      <name val="等线"/>
      <charset val="134"/>
    </font>
    <font>
      <b/>
      <sz val="10"/>
      <name val="等线"/>
      <charset val="134"/>
    </font>
    <font>
      <b/>
      <sz val="16"/>
      <color rgb="FFFFFFFF"/>
      <name val="等线"/>
      <charset val="134"/>
      <scheme val="minor"/>
    </font>
    <font>
      <b/>
      <sz val="10"/>
      <name val="等线"/>
      <charset val="134"/>
      <scheme val="minor"/>
    </font>
    <font>
      <b/>
      <sz val="10"/>
      <color rgb="FFC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rgb="FF267EF0"/>
      <name val="等线"/>
      <charset val="134"/>
    </font>
    <font>
      <u/>
      <sz val="10"/>
      <color rgb="FF267EF0"/>
      <name val="Helvetica Neue"/>
      <charset val="134"/>
    </font>
    <font>
      <sz val="10"/>
      <color rgb="FF000000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3F5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5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0" fillId="0" borderId="1" xfId="0" applyFont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0" fillId="0" borderId="5" xfId="0" applyFont="1" applyBorder="1">
      <alignment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  <xf numFmtId="178" fontId="1" fillId="0" borderId="1" xfId="0" applyNumberFormat="1" applyFont="1" applyBorder="1" applyAlignment="1">
      <alignment horizontal="right" vertical="center"/>
    </xf>
    <xf numFmtId="177" fontId="1" fillId="5" borderId="1" xfId="0" applyNumberFormat="1" applyFont="1" applyFill="1" applyBorder="1" applyAlignment="1">
      <alignment horizontal="right" vertical="center"/>
    </xf>
    <xf numFmtId="176" fontId="7" fillId="4" borderId="1" xfId="0" applyNumberFormat="1" applyFont="1" applyFill="1" applyBorder="1" applyAlignment="1">
      <alignment horizontal="right" vertical="center"/>
    </xf>
    <xf numFmtId="9" fontId="7" fillId="4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10" fontId="1" fillId="0" borderId="1" xfId="0" applyNumberFormat="1" applyFont="1" applyBorder="1" applyAlignment="1">
      <alignment horizontal="right" vertical="center"/>
    </xf>
    <xf numFmtId="0" fontId="1" fillId="0" borderId="1" xfId="0" applyFont="1" applyBorder="1">
      <alignment vertical="center"/>
    </xf>
    <xf numFmtId="9" fontId="1" fillId="4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>
      <alignment vertical="center"/>
    </xf>
    <xf numFmtId="0" fontId="1" fillId="0" borderId="0" xfId="0" applyFont="1" applyFill="1">
      <alignment vertical="center"/>
    </xf>
    <xf numFmtId="4" fontId="1" fillId="0" borderId="0" xfId="0" applyNumberFormat="1" applyFont="1">
      <alignment vertical="center"/>
    </xf>
    <xf numFmtId="3" fontId="1" fillId="0" borderId="0" xfId="0" applyNumberFormat="1" applyFont="1">
      <alignment vertical="center"/>
    </xf>
    <xf numFmtId="0" fontId="1" fillId="0" borderId="3" xfId="0" applyFont="1" applyBorder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ihb6eF8j/" TargetMode="External"/><Relationship Id="rId8" Type="http://schemas.openxmlformats.org/officeDocument/2006/relationships/hyperlink" Target="https://v.douyin.com/JJ3p572/" TargetMode="External"/><Relationship Id="rId7" Type="http://schemas.openxmlformats.org/officeDocument/2006/relationships/hyperlink" Target="https://www.douyin.com/user/MS4wLjABAAAAJfqON1LDmWBPlUXvQ-iwZ6AZLbLuIj72uGiFUuot89k" TargetMode="External"/><Relationship Id="rId6" Type="http://schemas.openxmlformats.org/officeDocument/2006/relationships/hyperlink" Target="https://v.douyin.com/JmcXQpY/" TargetMode="External"/><Relationship Id="rId5" Type="http://schemas.openxmlformats.org/officeDocument/2006/relationships/hyperlink" Target="https://v.douyin.com/JmcvjVd/" TargetMode="External"/><Relationship Id="rId4" Type="http://schemas.openxmlformats.org/officeDocument/2006/relationships/hyperlink" Target="https://v.douyin.com/38Scd6JrG_s/" TargetMode="External"/><Relationship Id="rId3" Type="http://schemas.openxmlformats.org/officeDocument/2006/relationships/hyperlink" Target="https://v.douyin.com/DcH2brXPgvc/" TargetMode="External"/><Relationship Id="rId22" Type="http://schemas.openxmlformats.org/officeDocument/2006/relationships/hyperlink" Target="https://v.douyin.com/dO7_tPj7Mgo/" TargetMode="External"/><Relationship Id="rId21" Type="http://schemas.openxmlformats.org/officeDocument/2006/relationships/hyperlink" Target="https://v.douyin.com/m8vFSRuq1co/" TargetMode="External"/><Relationship Id="rId20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SAEJqgoPkrY/" TargetMode="External"/><Relationship Id="rId19" Type="http://schemas.openxmlformats.org/officeDocument/2006/relationships/hyperlink" Target="https://v.douyin.com/c2M4VXTdIvM/" TargetMode="External"/><Relationship Id="rId18" Type="http://schemas.openxmlformats.org/officeDocument/2006/relationships/hyperlink" Target="https://v.douyin.com/jTTVNutNIRQ/" TargetMode="External"/><Relationship Id="rId17" Type="http://schemas.openxmlformats.org/officeDocument/2006/relationships/hyperlink" Target="https://v.douyin.com/wq_9XvcbfS0/" TargetMode="External"/><Relationship Id="rId16" Type="http://schemas.openxmlformats.org/officeDocument/2006/relationships/hyperlink" Target="https://v.douyin.com/iSUabqnS/" TargetMode="External"/><Relationship Id="rId15" Type="http://schemas.openxmlformats.org/officeDocument/2006/relationships/hyperlink" Target="https://v.douyin.com/Vva749Cn4Fk/" TargetMode="External"/><Relationship Id="rId14" Type="http://schemas.openxmlformats.org/officeDocument/2006/relationships/hyperlink" Target="https://v.douyin.com/ettSTTldPIc/" TargetMode="External"/><Relationship Id="rId13" Type="http://schemas.openxmlformats.org/officeDocument/2006/relationships/hyperlink" Target="https://v.douyin.com/lIhi6TchbPw/" TargetMode="External"/><Relationship Id="rId12" Type="http://schemas.openxmlformats.org/officeDocument/2006/relationships/hyperlink" Target="https://v.douyin.com/mFA-j2xaAJY/" TargetMode="External"/><Relationship Id="rId11" Type="http://schemas.openxmlformats.org/officeDocument/2006/relationships/hyperlink" Target="https://www.douyin.com/user/MS4wLjABAAAAbRgpD5qO5M7mlI-ALMWDbsqjwiSeFC1WxNPKVgjsSCbFam1N0thGyVDw-PfRjICt" TargetMode="External"/><Relationship Id="rId10" Type="http://schemas.openxmlformats.org/officeDocument/2006/relationships/hyperlink" Target="https://v.douyin.com/jTKED_9fV4A/" TargetMode="External"/><Relationship Id="rId1" Type="http://schemas.openxmlformats.org/officeDocument/2006/relationships/hyperlink" Target="https://v.douyin.com/dcP3cOC30h4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ihb6eF8j/" TargetMode="External"/><Relationship Id="rId8" Type="http://schemas.openxmlformats.org/officeDocument/2006/relationships/hyperlink" Target="https://v.douyin.com/JJ3p572/" TargetMode="External"/><Relationship Id="rId7" Type="http://schemas.openxmlformats.org/officeDocument/2006/relationships/hyperlink" Target="https://www.douyin.com/user/MS4wLjABAAAAJfqON1LDmWBPlUXvQ-iwZ6AZLbLuIj72uGiFUuot89k" TargetMode="External"/><Relationship Id="rId6" Type="http://schemas.openxmlformats.org/officeDocument/2006/relationships/hyperlink" Target="https://v.douyin.com/JmcXQpY/" TargetMode="External"/><Relationship Id="rId5" Type="http://schemas.openxmlformats.org/officeDocument/2006/relationships/hyperlink" Target="https://v.douyin.com/JmcvjVd/" TargetMode="External"/><Relationship Id="rId4" Type="http://schemas.openxmlformats.org/officeDocument/2006/relationships/hyperlink" Target="https://v.douyin.com/38Scd6JrG_s/" TargetMode="External"/><Relationship Id="rId3" Type="http://schemas.openxmlformats.org/officeDocument/2006/relationships/hyperlink" Target="https://v.douyin.com/DcH2brXPgvc/" TargetMode="External"/><Relationship Id="rId22" Type="http://schemas.openxmlformats.org/officeDocument/2006/relationships/hyperlink" Target="https://v.douyin.com/dO7_tPj7Mgo/" TargetMode="External"/><Relationship Id="rId21" Type="http://schemas.openxmlformats.org/officeDocument/2006/relationships/hyperlink" Target="https://v.douyin.com/m8vFSRuq1co/" TargetMode="External"/><Relationship Id="rId20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SAEJqgoPkrY/" TargetMode="External"/><Relationship Id="rId19" Type="http://schemas.openxmlformats.org/officeDocument/2006/relationships/hyperlink" Target="https://v.douyin.com/c2M4VXTdIvM/" TargetMode="External"/><Relationship Id="rId18" Type="http://schemas.openxmlformats.org/officeDocument/2006/relationships/hyperlink" Target="https://v.douyin.com/jTTVNutNIRQ/" TargetMode="External"/><Relationship Id="rId17" Type="http://schemas.openxmlformats.org/officeDocument/2006/relationships/hyperlink" Target="https://v.douyin.com/wq_9XvcbfS0/" TargetMode="External"/><Relationship Id="rId16" Type="http://schemas.openxmlformats.org/officeDocument/2006/relationships/hyperlink" Target="https://v.douyin.com/iSUabqnS/" TargetMode="External"/><Relationship Id="rId15" Type="http://schemas.openxmlformats.org/officeDocument/2006/relationships/hyperlink" Target="https://v.douyin.com/Vva749Cn4Fk/" TargetMode="External"/><Relationship Id="rId14" Type="http://schemas.openxmlformats.org/officeDocument/2006/relationships/hyperlink" Target="https://v.douyin.com/ettSTTldPIc/" TargetMode="External"/><Relationship Id="rId13" Type="http://schemas.openxmlformats.org/officeDocument/2006/relationships/hyperlink" Target="https://v.douyin.com/lIhi6TchbPw/" TargetMode="External"/><Relationship Id="rId12" Type="http://schemas.openxmlformats.org/officeDocument/2006/relationships/hyperlink" Target="https://v.douyin.com/mFA-j2xaAJY/" TargetMode="External"/><Relationship Id="rId11" Type="http://schemas.openxmlformats.org/officeDocument/2006/relationships/hyperlink" Target="https://www.douyin.com/user/MS4wLjABAAAAbRgpD5qO5M7mlI-ALMWDbsqjwiSeFC1WxNPKVgjsSCbFam1N0thGyVDw-PfRjICt" TargetMode="External"/><Relationship Id="rId10" Type="http://schemas.openxmlformats.org/officeDocument/2006/relationships/hyperlink" Target="https://v.douyin.com/jTKED_9fV4A/" TargetMode="External"/><Relationship Id="rId1" Type="http://schemas.openxmlformats.org/officeDocument/2006/relationships/hyperlink" Target="https://v.douyin.com/dcP3cOC30h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抖音大号维护标准"/>
  <dimension ref="A1:AW95"/>
  <sheetViews>
    <sheetView topLeftCell="A3" workbookViewId="0">
      <selection activeCell="H14" sqref="H14"/>
    </sheetView>
  </sheetViews>
  <sheetFormatPr defaultColWidth="14" defaultRowHeight="18" customHeight="1"/>
  <cols>
    <col min="1" max="3" width="13.0865384615385" style="28" customWidth="1"/>
    <col min="4" max="4" width="11.1057692307692" style="28" customWidth="1"/>
    <col min="5" max="5" width="10.3461538461538" style="28" customWidth="1"/>
    <col min="6" max="6" width="12.7596153846154" style="28" customWidth="1"/>
    <col min="7" max="7" width="19.8365384615385" style="28" customWidth="1"/>
    <col min="8" max="8" width="15.5096153846154" style="28" customWidth="1"/>
    <col min="9" max="9" width="12.8173076923077" style="29" customWidth="1"/>
    <col min="10" max="10" width="15.7788461538462" style="28" customWidth="1"/>
    <col min="11" max="11" width="12.5384615384615" style="28" customWidth="1"/>
    <col min="12" max="17" width="12.1442307692308" style="28" customWidth="1"/>
    <col min="18" max="18" width="14.2980769230769" style="28" customWidth="1"/>
    <col min="19" max="19" width="12.1442307692308" style="28" customWidth="1"/>
    <col min="20" max="21" width="11.4615384615385" style="28" customWidth="1"/>
    <col min="22" max="22" width="11.875" style="28" customWidth="1"/>
    <col min="23" max="23" width="15.6538461538462" style="28" customWidth="1"/>
    <col min="24" max="24" width="17.7884615384615" style="28" customWidth="1"/>
    <col min="25" max="25" width="19.1923076923077" style="28" customWidth="1"/>
    <col min="26" max="36" width="13.6730769230769" style="28"/>
  </cols>
  <sheetData>
    <row r="1" ht="43.5" customHeight="1" spans="1:4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="28" customFormat="1" ht="79.5" customHeight="1" spans="1:4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4"/>
      <c r="U2" s="4"/>
    </row>
    <row r="3" s="28" customFormat="1" ht="46" spans="1:44">
      <c r="A3" s="1" t="s">
        <v>2</v>
      </c>
      <c r="B3" s="34" t="s">
        <v>3</v>
      </c>
      <c r="C3" s="34" t="s">
        <v>4</v>
      </c>
      <c r="D3" s="1" t="s">
        <v>5</v>
      </c>
      <c r="E3" s="1" t="s">
        <v>6</v>
      </c>
      <c r="F3" s="35" t="s">
        <v>7</v>
      </c>
      <c r="G3" s="36" t="s">
        <v>8</v>
      </c>
      <c r="H3" s="36" t="s">
        <v>9</v>
      </c>
      <c r="I3" s="37" t="s">
        <v>10</v>
      </c>
      <c r="J3" s="38" t="s">
        <v>11</v>
      </c>
      <c r="K3" s="35" t="s">
        <v>12</v>
      </c>
      <c r="L3" s="38" t="s">
        <v>13</v>
      </c>
      <c r="M3" s="38" t="s">
        <v>14</v>
      </c>
      <c r="N3" s="38" t="s">
        <v>15</v>
      </c>
      <c r="O3" s="38" t="s">
        <v>16</v>
      </c>
      <c r="P3" s="1" t="s">
        <v>17</v>
      </c>
      <c r="Q3" s="1" t="s">
        <v>18</v>
      </c>
      <c r="R3" s="38" t="s">
        <v>19</v>
      </c>
      <c r="S3" s="1" t="s">
        <v>20</v>
      </c>
      <c r="T3" s="38" t="s">
        <v>21</v>
      </c>
      <c r="U3" s="38" t="s">
        <v>22</v>
      </c>
    </row>
    <row r="4" s="28" customFormat="1" ht="15.2" spans="1:44">
      <c r="A4" s="2" t="s">
        <v>23</v>
      </c>
      <c r="B4" s="39">
        <v>14800</v>
      </c>
      <c r="C4" s="39">
        <v>16600</v>
      </c>
      <c r="D4" s="40">
        <v>57000</v>
      </c>
      <c r="E4" s="41">
        <f t="shared" ref="E4:E10" si="0">B4/D4*1000</f>
        <v>259.649122807018</v>
      </c>
      <c r="F4" s="42">
        <v>69000</v>
      </c>
      <c r="G4" s="43">
        <v>14800</v>
      </c>
      <c r="H4" s="43">
        <v>16600</v>
      </c>
      <c r="I4" s="44">
        <f t="shared" ref="I4:I10" si="1">(H4-C4)/C4</f>
        <v>0</v>
      </c>
      <c r="J4" s="45">
        <f t="shared" ref="J4:J10" si="2">(H4*80%)*1000/30</f>
        <v>442666.666666667</v>
      </c>
      <c r="K4" s="42">
        <f t="shared" ref="K4:K10" si="3">H4/200*1000*1.5</f>
        <v>124500</v>
      </c>
      <c r="L4" s="46">
        <f t="shared" ref="L4:L10" si="4">K4*17/1000</f>
        <v>2116.5</v>
      </c>
      <c r="M4" s="46">
        <f t="shared" ref="M4:M10" si="5">K4*20/1000</f>
        <v>2490</v>
      </c>
      <c r="N4" s="46">
        <f t="shared" ref="N4:N10" si="6">J4-K4</f>
        <v>318166.666666667</v>
      </c>
      <c r="O4" s="46">
        <f t="shared" ref="O4:O10" si="7">(N4/1000)*5.5</f>
        <v>1749.91666666667</v>
      </c>
      <c r="P4" s="46">
        <f>30*18+200*0.8+300*0.2+200*0.1</f>
        <v>780</v>
      </c>
      <c r="Q4" s="46">
        <f t="shared" ref="Q4:Q10" si="8">M4+O4+P4</f>
        <v>5019.91666666667</v>
      </c>
      <c r="R4" s="46">
        <f t="shared" ref="R4:R10" si="9">(H4*70%)-Q4</f>
        <v>6600.08333333333</v>
      </c>
      <c r="S4" s="47">
        <f t="shared" ref="S4:S10" si="10">R4/H4</f>
        <v>0.397595381526104</v>
      </c>
      <c r="T4" s="48">
        <f t="shared" ref="T4:T10" si="11">R4*0.65</f>
        <v>4290.05416666667</v>
      </c>
      <c r="U4" s="47">
        <f t="shared" ref="U4:U10" si="12">T4/H4</f>
        <v>0.258436997991968</v>
      </c>
    </row>
    <row r="5" s="28" customFormat="1" ht="15.2" spans="1:44">
      <c r="A5" s="2" t="s">
        <v>24</v>
      </c>
      <c r="B5" s="39">
        <v>11900</v>
      </c>
      <c r="C5" s="39">
        <v>14300</v>
      </c>
      <c r="D5" s="40">
        <v>32000</v>
      </c>
      <c r="E5" s="41">
        <f t="shared" si="0"/>
        <v>371.875</v>
      </c>
      <c r="F5" s="42">
        <v>54000</v>
      </c>
      <c r="G5" s="39">
        <f>H5*0.7</f>
        <v>12600</v>
      </c>
      <c r="H5" s="39">
        <v>18000</v>
      </c>
      <c r="I5" s="49">
        <f t="shared" si="1"/>
        <v>0.258741258741259</v>
      </c>
      <c r="J5" s="45">
        <f t="shared" si="2"/>
        <v>480000</v>
      </c>
      <c r="K5" s="42">
        <f t="shared" si="3"/>
        <v>135000</v>
      </c>
      <c r="L5" s="46">
        <f t="shared" si="4"/>
        <v>2295</v>
      </c>
      <c r="M5" s="46">
        <f t="shared" si="5"/>
        <v>2700</v>
      </c>
      <c r="N5" s="46">
        <f t="shared" si="6"/>
        <v>345000</v>
      </c>
      <c r="O5" s="46">
        <f t="shared" si="7"/>
        <v>1897.5</v>
      </c>
      <c r="P5" s="46">
        <f>20*18+200*0.8+300*0.2+200*0.1</f>
        <v>600</v>
      </c>
      <c r="Q5" s="46">
        <f t="shared" si="8"/>
        <v>5197.5</v>
      </c>
      <c r="R5" s="46">
        <f t="shared" si="9"/>
        <v>7402.5</v>
      </c>
      <c r="S5" s="47">
        <f t="shared" si="10"/>
        <v>0.41125</v>
      </c>
      <c r="T5" s="50">
        <f t="shared" si="11"/>
        <v>4811.625</v>
      </c>
      <c r="U5" s="47">
        <f t="shared" si="12"/>
        <v>0.2673125</v>
      </c>
    </row>
    <row r="6" s="28" customFormat="1" ht="15.2" spans="1:44">
      <c r="A6" s="2" t="s">
        <v>25</v>
      </c>
      <c r="B6" s="39">
        <v>14250</v>
      </c>
      <c r="C6" s="39">
        <v>17100</v>
      </c>
      <c r="D6" s="40">
        <v>261000</v>
      </c>
      <c r="E6" s="41">
        <f t="shared" si="0"/>
        <v>54.5977011494253</v>
      </c>
      <c r="F6" s="42">
        <v>189000</v>
      </c>
      <c r="G6" s="39">
        <f>H6*0.7</f>
        <v>14000</v>
      </c>
      <c r="H6" s="39">
        <v>20000</v>
      </c>
      <c r="I6" s="49">
        <f t="shared" si="1"/>
        <v>0.169590643274854</v>
      </c>
      <c r="J6" s="45">
        <f t="shared" si="2"/>
        <v>533333.333333333</v>
      </c>
      <c r="K6" s="42">
        <f t="shared" si="3"/>
        <v>150000</v>
      </c>
      <c r="L6" s="46">
        <f t="shared" si="4"/>
        <v>2550</v>
      </c>
      <c r="M6" s="46">
        <f t="shared" si="5"/>
        <v>3000</v>
      </c>
      <c r="N6" s="46">
        <f t="shared" si="6"/>
        <v>383333.333333333</v>
      </c>
      <c r="O6" s="46">
        <f t="shared" si="7"/>
        <v>2108.33333333333</v>
      </c>
      <c r="P6" s="46">
        <f>30*18+200*0.8+300*0.2+200*0.1</f>
        <v>780</v>
      </c>
      <c r="Q6" s="46">
        <f t="shared" si="8"/>
        <v>5888.33333333333</v>
      </c>
      <c r="R6" s="46">
        <f t="shared" si="9"/>
        <v>8111.66666666667</v>
      </c>
      <c r="S6" s="47">
        <f t="shared" si="10"/>
        <v>0.405583333333333</v>
      </c>
      <c r="T6" s="50">
        <f t="shared" si="11"/>
        <v>5272.58333333333</v>
      </c>
      <c r="U6" s="47">
        <f t="shared" si="12"/>
        <v>0.263629166666667</v>
      </c>
    </row>
    <row r="7" s="28" customFormat="1" ht="15.2" spans="1:44">
      <c r="A7" s="2" t="s">
        <v>26</v>
      </c>
      <c r="B7" s="39">
        <v>8000</v>
      </c>
      <c r="C7" s="39">
        <v>10000</v>
      </c>
      <c r="D7" s="40">
        <v>35000</v>
      </c>
      <c r="E7" s="41">
        <f t="shared" si="0"/>
        <v>228.571428571429</v>
      </c>
      <c r="F7" s="42">
        <v>84000</v>
      </c>
      <c r="G7" s="43">
        <f>H7*0.7</f>
        <v>8400</v>
      </c>
      <c r="H7" s="43">
        <v>12000</v>
      </c>
      <c r="I7" s="44">
        <f t="shared" si="1"/>
        <v>0.2</v>
      </c>
      <c r="J7" s="45">
        <f t="shared" si="2"/>
        <v>320000</v>
      </c>
      <c r="K7" s="42">
        <f t="shared" si="3"/>
        <v>90000</v>
      </c>
      <c r="L7" s="46">
        <f t="shared" si="4"/>
        <v>1530</v>
      </c>
      <c r="M7" s="46">
        <f t="shared" si="5"/>
        <v>1800</v>
      </c>
      <c r="N7" s="46">
        <f t="shared" si="6"/>
        <v>230000</v>
      </c>
      <c r="O7" s="46">
        <f t="shared" si="7"/>
        <v>1265</v>
      </c>
      <c r="P7" s="46">
        <f>15*18+200*0.8+300*0.2+200*0.1</f>
        <v>510</v>
      </c>
      <c r="Q7" s="46">
        <f t="shared" si="8"/>
        <v>3575</v>
      </c>
      <c r="R7" s="46">
        <f t="shared" si="9"/>
        <v>4825</v>
      </c>
      <c r="S7" s="47">
        <f t="shared" si="10"/>
        <v>0.402083333333333</v>
      </c>
      <c r="T7" s="50">
        <f t="shared" si="11"/>
        <v>3136.25</v>
      </c>
      <c r="U7" s="47">
        <f t="shared" si="12"/>
        <v>0.261354166666667</v>
      </c>
      <c r="W7" s="51"/>
    </row>
    <row r="8" s="28" customFormat="1" ht="15.2" spans="1:44">
      <c r="A8" s="2" t="s">
        <v>27</v>
      </c>
      <c r="B8" s="39">
        <v>15000</v>
      </c>
      <c r="C8" s="39">
        <v>18000</v>
      </c>
      <c r="D8" s="40">
        <v>13000</v>
      </c>
      <c r="E8" s="41">
        <f t="shared" si="0"/>
        <v>1153.84615384615</v>
      </c>
      <c r="F8" s="42">
        <v>84000</v>
      </c>
      <c r="G8" s="39">
        <f>H8*0.7</f>
        <v>14000</v>
      </c>
      <c r="H8" s="39">
        <v>20000</v>
      </c>
      <c r="I8" s="49">
        <f t="shared" si="1"/>
        <v>0.111111111111111</v>
      </c>
      <c r="J8" s="45">
        <f t="shared" si="2"/>
        <v>533333.333333333</v>
      </c>
      <c r="K8" s="42">
        <f t="shared" si="3"/>
        <v>150000</v>
      </c>
      <c r="L8" s="46">
        <f t="shared" si="4"/>
        <v>2550</v>
      </c>
      <c r="M8" s="46">
        <f t="shared" si="5"/>
        <v>3000</v>
      </c>
      <c r="N8" s="46">
        <f t="shared" si="6"/>
        <v>383333.333333333</v>
      </c>
      <c r="O8" s="46">
        <f t="shared" si="7"/>
        <v>2108.33333333333</v>
      </c>
      <c r="P8" s="46">
        <f>30*18+200*0.8+300*0.2+200*0.1</f>
        <v>780</v>
      </c>
      <c r="Q8" s="46">
        <f t="shared" si="8"/>
        <v>5888.33333333333</v>
      </c>
      <c r="R8" s="46">
        <f t="shared" si="9"/>
        <v>8111.66666666667</v>
      </c>
      <c r="S8" s="47">
        <f t="shared" si="10"/>
        <v>0.405583333333333</v>
      </c>
      <c r="T8" s="50">
        <f t="shared" si="11"/>
        <v>5272.58333333333</v>
      </c>
      <c r="U8" s="47">
        <f t="shared" si="12"/>
        <v>0.263629166666667</v>
      </c>
      <c r="V8" s="52"/>
      <c r="W8" s="53"/>
      <c r="X8" s="53"/>
    </row>
    <row r="9" s="28" customFormat="1" ht="15.2" spans="1:44">
      <c r="A9" s="2" t="s">
        <v>28</v>
      </c>
      <c r="B9" s="39">
        <v>10000</v>
      </c>
      <c r="C9" s="39">
        <v>12000</v>
      </c>
      <c r="D9" s="40">
        <v>26000</v>
      </c>
      <c r="E9" s="41">
        <f t="shared" si="0"/>
        <v>384.615384615385</v>
      </c>
      <c r="F9" s="42">
        <v>70000</v>
      </c>
      <c r="G9" s="43">
        <f>H9*0.7</f>
        <v>10500</v>
      </c>
      <c r="H9" s="43">
        <v>15000</v>
      </c>
      <c r="I9" s="44">
        <f t="shared" si="1"/>
        <v>0.25</v>
      </c>
      <c r="J9" s="45">
        <f t="shared" si="2"/>
        <v>400000</v>
      </c>
      <c r="K9" s="42">
        <f t="shared" si="3"/>
        <v>112500</v>
      </c>
      <c r="L9" s="46">
        <f t="shared" si="4"/>
        <v>1912.5</v>
      </c>
      <c r="M9" s="46">
        <f t="shared" si="5"/>
        <v>2250</v>
      </c>
      <c r="N9" s="46">
        <f t="shared" si="6"/>
        <v>287500</v>
      </c>
      <c r="O9" s="46">
        <f t="shared" si="7"/>
        <v>1581.25</v>
      </c>
      <c r="P9" s="46">
        <f>20*18+200*0.8+300*0.2+200*0.1</f>
        <v>600</v>
      </c>
      <c r="Q9" s="46">
        <f t="shared" si="8"/>
        <v>4431.25</v>
      </c>
      <c r="R9" s="46">
        <f t="shared" si="9"/>
        <v>6068.75</v>
      </c>
      <c r="S9" s="47">
        <f t="shared" si="10"/>
        <v>0.404583333333333</v>
      </c>
      <c r="T9" s="50">
        <f t="shared" si="11"/>
        <v>3944.6875</v>
      </c>
      <c r="U9" s="47">
        <f t="shared" si="12"/>
        <v>0.262979166666667</v>
      </c>
    </row>
    <row r="10" s="28" customFormat="1" ht="15.2" spans="1:44">
      <c r="A10" s="2" t="s">
        <v>29</v>
      </c>
      <c r="B10" s="39">
        <v>8000</v>
      </c>
      <c r="C10" s="39">
        <v>10000</v>
      </c>
      <c r="D10" s="40">
        <v>26000</v>
      </c>
      <c r="E10" s="41">
        <f t="shared" si="0"/>
        <v>307.692307692308</v>
      </c>
      <c r="F10" s="42">
        <v>97000</v>
      </c>
      <c r="G10" s="43">
        <v>8000</v>
      </c>
      <c r="H10" s="43">
        <v>10000</v>
      </c>
      <c r="I10" s="44">
        <f t="shared" si="1"/>
        <v>0</v>
      </c>
      <c r="J10" s="45">
        <f t="shared" si="2"/>
        <v>266666.666666667</v>
      </c>
      <c r="K10" s="42">
        <f t="shared" si="3"/>
        <v>75000</v>
      </c>
      <c r="L10" s="46">
        <f t="shared" si="4"/>
        <v>1275</v>
      </c>
      <c r="M10" s="46">
        <f t="shared" si="5"/>
        <v>1500</v>
      </c>
      <c r="N10" s="46">
        <f t="shared" si="6"/>
        <v>191666.666666667</v>
      </c>
      <c r="O10" s="46">
        <f t="shared" si="7"/>
        <v>1054.16666666667</v>
      </c>
      <c r="P10" s="46">
        <f>15*18+200*0.8+300*0.2+200*0.1</f>
        <v>510</v>
      </c>
      <c r="Q10" s="46">
        <f t="shared" si="8"/>
        <v>3064.16666666667</v>
      </c>
      <c r="R10" s="46">
        <f t="shared" si="9"/>
        <v>3935.83333333333</v>
      </c>
      <c r="S10" s="47">
        <f t="shared" si="10"/>
        <v>0.393583333333333</v>
      </c>
      <c r="T10" s="50">
        <f t="shared" si="11"/>
        <v>2558.29166666667</v>
      </c>
      <c r="U10" s="47">
        <f t="shared" si="12"/>
        <v>0.255829166666667</v>
      </c>
    </row>
    <row r="14" ht="15.2"/>
    <row r="15" ht="52.5" customHeight="1" spans="1:44">
      <c r="A15" s="30" t="s">
        <v>30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Z15" s="30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31"/>
      <c r="AL15" s="31"/>
      <c r="AM15" s="31"/>
      <c r="AN15" s="31"/>
      <c r="AO15" s="31"/>
      <c r="AP15" s="31"/>
      <c r="AQ15" s="31"/>
      <c r="AR15" s="31"/>
    </row>
    <row r="16" ht="66.75" customHeight="1" spans="1:44">
      <c r="A16" s="7" t="s">
        <v>31</v>
      </c>
      <c r="Z16"/>
      <c r="AA16"/>
      <c r="AB16"/>
      <c r="AC16"/>
      <c r="AD16"/>
      <c r="AE16"/>
      <c r="AF16"/>
      <c r="AG16"/>
      <c r="AH16"/>
      <c r="AI16"/>
      <c r="AJ16"/>
    </row>
    <row r="17" ht="46" spans="1:24">
      <c r="A17" s="8" t="s">
        <v>2</v>
      </c>
      <c r="B17" s="8" t="s">
        <v>32</v>
      </c>
      <c r="C17" s="9" t="s">
        <v>33</v>
      </c>
      <c r="D17" s="9" t="s">
        <v>34</v>
      </c>
      <c r="E17" s="10" t="s">
        <v>35</v>
      </c>
      <c r="F17" s="10" t="s">
        <v>36</v>
      </c>
      <c r="G17" s="8" t="s">
        <v>37</v>
      </c>
      <c r="H17" s="11" t="s">
        <v>38</v>
      </c>
      <c r="I17" s="12" t="s">
        <v>39</v>
      </c>
      <c r="J17" s="8" t="s">
        <v>40</v>
      </c>
      <c r="K17" s="13" t="s">
        <v>41</v>
      </c>
      <c r="L17" s="13" t="s">
        <v>42</v>
      </c>
      <c r="M17" s="8" t="s">
        <v>43</v>
      </c>
      <c r="N17" s="8" t="s">
        <v>44</v>
      </c>
      <c r="O17" s="8" t="s">
        <v>45</v>
      </c>
      <c r="P17" s="8" t="s">
        <v>46</v>
      </c>
      <c r="Q17" s="8" t="s">
        <v>47</v>
      </c>
      <c r="R17" s="8" t="s">
        <v>48</v>
      </c>
      <c r="S17" s="13" t="s">
        <v>49</v>
      </c>
      <c r="T17" s="13" t="s">
        <v>50</v>
      </c>
      <c r="U17" s="13" t="s">
        <v>51</v>
      </c>
      <c r="V17" s="13" t="s">
        <v>52</v>
      </c>
      <c r="W17" s="8" t="s">
        <v>53</v>
      </c>
      <c r="X17" s="8" t="s">
        <v>54</v>
      </c>
    </row>
    <row r="18" ht="15.2" spans="1:24">
      <c r="A18" s="3" t="s">
        <v>55</v>
      </c>
      <c r="B18" s="3" t="s">
        <v>56</v>
      </c>
      <c r="C18" s="9">
        <v>10500</v>
      </c>
      <c r="D18" s="9">
        <f>C18*0.6</f>
        <v>6300</v>
      </c>
      <c r="E18" s="14" t="s">
        <v>57</v>
      </c>
      <c r="F18" s="14" t="s">
        <v>57</v>
      </c>
      <c r="G18" s="3" t="s">
        <v>58</v>
      </c>
      <c r="H18" s="9">
        <f>(D18)*(1)</f>
        <v>6300</v>
      </c>
      <c r="I18" s="15">
        <f>ROUNDUP(C18*维护参数!$B$11/维护参数!$B$12*1000,0)</f>
        <v>280000</v>
      </c>
      <c r="J18" s="3" t="s">
        <v>59</v>
      </c>
      <c r="K18" s="16">
        <f>(MAX(维护参数!$B$4,ROUNDUP(I18/10000,0)))*(维护参数!$B$2)</f>
        <v>588</v>
      </c>
      <c r="L18" s="17">
        <f>ROUNDUP(C18*维护参数!$B$16/维护参数!$B$15/1000,0)*1000</f>
        <v>21000</v>
      </c>
      <c r="M18" s="17">
        <f>ROUNDUP(C18*维护参数!$B$17/维护参数!$B$15/10,0)*10</f>
        <v>210</v>
      </c>
      <c r="N18" s="17">
        <f>ROUNDUP(C18*维护参数!$B$18/维护参数!$B$15/10,0)*10</f>
        <v>210</v>
      </c>
      <c r="O18" s="17">
        <f>ROUNDUP(C18*维护参数!$B$19/维护参数!$B$15/10,0)*10</f>
        <v>320</v>
      </c>
      <c r="P18" s="16">
        <f>L18/1000*维护参数!$B$6+M18*维护参数!$B$7+N18*维护参数!$B$8+O18*维护参数!$B$9</f>
        <v>1513</v>
      </c>
      <c r="Q18" s="16">
        <f>SUM(K18,P18)</f>
        <v>2101</v>
      </c>
      <c r="R18" s="18">
        <f t="shared" ref="R18:R61" si="13">Q18/H18</f>
        <v>0.333492063492064</v>
      </c>
      <c r="S18" s="16">
        <f t="shared" ref="S18:S61" si="14">H18-Q18</f>
        <v>4199</v>
      </c>
      <c r="T18" s="18">
        <f>S18/(C18)</f>
        <v>0.399904761904762</v>
      </c>
      <c r="U18" s="16">
        <f>S18*维护参数!$B$20</f>
        <v>2729.35</v>
      </c>
      <c r="V18" s="18">
        <f>U18/(C18)</f>
        <v>0.259938095238095</v>
      </c>
      <c r="W18" s="19" t="s">
        <v>60</v>
      </c>
      <c r="X18" s="55" t="s">
        <v>61</v>
      </c>
    </row>
    <row r="19" ht="15.2" spans="1:24">
      <c r="A19" s="3"/>
      <c r="B19" s="3"/>
      <c r="C19" s="20"/>
      <c r="D19" s="20"/>
      <c r="E19" s="20"/>
      <c r="F19" s="20"/>
      <c r="G19" s="3" t="s">
        <v>62</v>
      </c>
      <c r="H19" s="9">
        <f>(C18)*(维护参数!$B$10)</f>
        <v>7350</v>
      </c>
      <c r="I19" s="21"/>
      <c r="J19" s="3" t="s">
        <v>63</v>
      </c>
      <c r="K19" s="16">
        <f>(MAX(维护参数!$B$5,ROUNDUP(I18/10000,0)))*(维护参数!$B$3)</f>
        <v>1540</v>
      </c>
      <c r="L19" s="21"/>
      <c r="M19" s="21"/>
      <c r="N19" s="21"/>
      <c r="O19" s="21"/>
      <c r="P19" s="22"/>
      <c r="Q19" s="16">
        <f>SUM(K19,P18)</f>
        <v>3053</v>
      </c>
      <c r="R19" s="18">
        <f t="shared" si="13"/>
        <v>0.415374149659864</v>
      </c>
      <c r="S19" s="16">
        <f t="shared" si="14"/>
        <v>4297</v>
      </c>
      <c r="T19" s="18">
        <f>S19/(C18)</f>
        <v>0.409238095238095</v>
      </c>
      <c r="U19" s="16">
        <f>S19*维护参数!$B$20</f>
        <v>2793.05</v>
      </c>
      <c r="V19" s="18">
        <f>U19/(C18)</f>
        <v>0.266004761904762</v>
      </c>
      <c r="W19" s="19"/>
      <c r="X19" s="23"/>
    </row>
    <row r="20" ht="15.2" spans="1:24">
      <c r="A20" s="3" t="s">
        <v>64</v>
      </c>
      <c r="B20" s="3" t="s">
        <v>65</v>
      </c>
      <c r="C20" s="9">
        <v>11700</v>
      </c>
      <c r="D20" s="9">
        <f>C20*0.6</f>
        <v>7020</v>
      </c>
      <c r="E20" s="14" t="s">
        <v>57</v>
      </c>
      <c r="F20" s="14" t="s">
        <v>57</v>
      </c>
      <c r="G20" s="3" t="s">
        <v>58</v>
      </c>
      <c r="H20" s="9">
        <f>(D20)*(1)</f>
        <v>7020</v>
      </c>
      <c r="I20" s="15">
        <f>ROUNDUP(C20*维护参数!$B$11/维护参数!$B$12*1000,0)</f>
        <v>312000</v>
      </c>
      <c r="J20" s="3" t="s">
        <v>59</v>
      </c>
      <c r="K20" s="16">
        <f>(MAX(维护参数!$B$4,ROUNDUP(I20/10000,0)))*(维护参数!$B$2)</f>
        <v>672</v>
      </c>
      <c r="L20" s="17">
        <f>ROUNDUP(C20*维护参数!$B$16/维护参数!$B$15/1000,0)*1000</f>
        <v>24000</v>
      </c>
      <c r="M20" s="17">
        <f>ROUNDUP(C20*维护参数!$B$17/维护参数!$B$15/10,0)*10</f>
        <v>240</v>
      </c>
      <c r="N20" s="17">
        <f>ROUNDUP(C20*维护参数!$B$18/维护参数!$B$15/10,0)*10</f>
        <v>240</v>
      </c>
      <c r="O20" s="17">
        <f>ROUNDUP(C20*维护参数!$B$19/维护参数!$B$15/10,0)*10</f>
        <v>360</v>
      </c>
      <c r="P20" s="16">
        <f>L20/1000*维护参数!$B$6+M20*维护参数!$B$7+N20*维护参数!$B$8+O20*维护参数!$B$9</f>
        <v>1728</v>
      </c>
      <c r="Q20" s="16">
        <f>SUM(K20,P20)</f>
        <v>2400</v>
      </c>
      <c r="R20" s="18">
        <f t="shared" si="13"/>
        <v>0.341880341880342</v>
      </c>
      <c r="S20" s="16">
        <f t="shared" si="14"/>
        <v>4620</v>
      </c>
      <c r="T20" s="18">
        <f>S20/(C20)</f>
        <v>0.394871794871795</v>
      </c>
      <c r="U20" s="16">
        <f>S20*维护参数!$B$20</f>
        <v>3003</v>
      </c>
      <c r="V20" s="18">
        <f>U20/(C20)</f>
        <v>0.256666666666667</v>
      </c>
      <c r="W20" s="24" t="s">
        <v>66</v>
      </c>
      <c r="X20" s="5" t="s">
        <v>67</v>
      </c>
    </row>
    <row r="21" ht="15.2" spans="1:24">
      <c r="A21" s="3"/>
      <c r="B21" s="3"/>
      <c r="C21" s="20"/>
      <c r="D21" s="20"/>
      <c r="E21" s="20"/>
      <c r="F21" s="20"/>
      <c r="G21" s="3" t="s">
        <v>62</v>
      </c>
      <c r="H21" s="9">
        <f>(C20)*(维护参数!$B$10)</f>
        <v>8190</v>
      </c>
      <c r="I21" s="21"/>
      <c r="J21" s="3" t="s">
        <v>63</v>
      </c>
      <c r="K21" s="16">
        <f>(MAX(维护参数!$B$5,ROUNDUP(I20/10000,0)))*(维护参数!$B$3)</f>
        <v>1760</v>
      </c>
      <c r="L21" s="21"/>
      <c r="M21" s="21"/>
      <c r="N21" s="21"/>
      <c r="O21" s="21"/>
      <c r="P21" s="22"/>
      <c r="Q21" s="16">
        <f>SUM(K21,P20)</f>
        <v>3488</v>
      </c>
      <c r="R21" s="18">
        <f t="shared" si="13"/>
        <v>0.425885225885226</v>
      </c>
      <c r="S21" s="16">
        <f t="shared" si="14"/>
        <v>4702</v>
      </c>
      <c r="T21" s="18">
        <f>S21/(C20)</f>
        <v>0.401880341880342</v>
      </c>
      <c r="U21" s="16">
        <f>S21*维护参数!$B$20</f>
        <v>3056.3</v>
      </c>
      <c r="V21" s="18">
        <f>U21/(C20)</f>
        <v>0.261222222222222</v>
      </c>
      <c r="W21" s="3"/>
      <c r="X21" s="3"/>
    </row>
    <row r="22" ht="15.2" spans="1:24">
      <c r="A22" s="3" t="s">
        <v>68</v>
      </c>
      <c r="B22" s="3" t="s">
        <v>65</v>
      </c>
      <c r="C22" s="9">
        <v>6000</v>
      </c>
      <c r="D22" s="9">
        <f>C22*0.6</f>
        <v>3600</v>
      </c>
      <c r="E22" s="26">
        <v>9000</v>
      </c>
      <c r="F22" s="26">
        <f>E22*0.6</f>
        <v>5400</v>
      </c>
      <c r="G22" s="3" t="s">
        <v>58</v>
      </c>
      <c r="H22" s="9">
        <f>(D22)*(1)</f>
        <v>3600</v>
      </c>
      <c r="I22" s="15">
        <f>ROUNDUP(C22*维护参数!$B$11/维护参数!$B$12*1000,0)</f>
        <v>160000</v>
      </c>
      <c r="J22" s="3" t="s">
        <v>59</v>
      </c>
      <c r="K22" s="16">
        <f>(MAX(维护参数!$B$4,ROUNDUP(I22/10000,0)))*(维护参数!$B$2)</f>
        <v>336</v>
      </c>
      <c r="L22" s="17">
        <f>ROUNDUP(C22*维护参数!$B$16/维护参数!$B$15/1000,0)*1000</f>
        <v>12000</v>
      </c>
      <c r="M22" s="17">
        <f>ROUNDUP(C22*维护参数!$B$17/维护参数!$B$15/10,0)*10</f>
        <v>120</v>
      </c>
      <c r="N22" s="17">
        <f>ROUNDUP(C22*维护参数!$B$18/维护参数!$B$15/10,0)*10</f>
        <v>120</v>
      </c>
      <c r="O22" s="17">
        <f>ROUNDUP(C22*维护参数!$B$19/维护参数!$B$15/10,0)*10</f>
        <v>180</v>
      </c>
      <c r="P22" s="16">
        <f>L22/1000*维护参数!$B$6+M22*维护参数!$B$7+N22*维护参数!$B$8+O22*维护参数!$B$9</f>
        <v>864</v>
      </c>
      <c r="Q22" s="16">
        <f>SUM(K22,P22)</f>
        <v>1200</v>
      </c>
      <c r="R22" s="18">
        <f t="shared" si="13"/>
        <v>0.333333333333333</v>
      </c>
      <c r="S22" s="16">
        <f t="shared" si="14"/>
        <v>2400</v>
      </c>
      <c r="T22" s="18">
        <f>S22/(C22)</f>
        <v>0.4</v>
      </c>
      <c r="U22" s="16">
        <f>S22*维护参数!$B$20</f>
        <v>1560</v>
      </c>
      <c r="V22" s="18">
        <f>U22/(C22)</f>
        <v>0.26</v>
      </c>
      <c r="W22" s="3"/>
      <c r="X22" s="3" t="s">
        <v>69</v>
      </c>
    </row>
    <row r="23" ht="15.2" spans="1:24">
      <c r="A23" s="3"/>
      <c r="B23" s="3"/>
      <c r="C23" s="20"/>
      <c r="D23" s="20"/>
      <c r="E23" s="20"/>
      <c r="F23" s="20"/>
      <c r="G23" s="3" t="s">
        <v>62</v>
      </c>
      <c r="H23" s="9">
        <f>(C22)*(维护参数!$B$10)</f>
        <v>4200</v>
      </c>
      <c r="I23" s="21"/>
      <c r="J23" s="3" t="s">
        <v>63</v>
      </c>
      <c r="K23" s="16">
        <f>(MAX(维护参数!$B$5,ROUNDUP(I22/10000,0)))*(维护参数!$B$3)</f>
        <v>880</v>
      </c>
      <c r="L23" s="21"/>
      <c r="M23" s="21"/>
      <c r="N23" s="21"/>
      <c r="O23" s="21"/>
      <c r="P23" s="22"/>
      <c r="Q23" s="16">
        <f>SUM(K23,P22)</f>
        <v>1744</v>
      </c>
      <c r="R23" s="18">
        <f t="shared" si="13"/>
        <v>0.415238095238095</v>
      </c>
      <c r="S23" s="16">
        <f t="shared" si="14"/>
        <v>2456</v>
      </c>
      <c r="T23" s="18">
        <f>S23/(C22)</f>
        <v>0.409333333333333</v>
      </c>
      <c r="U23" s="16">
        <f>S23*维护参数!$B$20</f>
        <v>1596.4</v>
      </c>
      <c r="V23" s="18">
        <f>U23/(C22)</f>
        <v>0.266066666666667</v>
      </c>
      <c r="W23" s="3"/>
      <c r="X23" s="3"/>
    </row>
    <row r="24" ht="15.2" spans="1:24">
      <c r="A24" s="3" t="s">
        <v>70</v>
      </c>
      <c r="B24" s="3" t="s">
        <v>71</v>
      </c>
      <c r="C24" s="9">
        <v>6250</v>
      </c>
      <c r="D24" s="9">
        <f>C24*0.6</f>
        <v>3750</v>
      </c>
      <c r="E24" s="26">
        <v>7000</v>
      </c>
      <c r="F24" s="26">
        <f>E24*0.6</f>
        <v>4200</v>
      </c>
      <c r="G24" s="3" t="s">
        <v>58</v>
      </c>
      <c r="H24" s="9">
        <f>(D24)*(1)</f>
        <v>3750</v>
      </c>
      <c r="I24" s="15">
        <f>ROUNDUP(C24*维护参数!$B$11/维护参数!$B$12*1000,0)</f>
        <v>166667</v>
      </c>
      <c r="J24" s="3" t="s">
        <v>59</v>
      </c>
      <c r="K24" s="16">
        <f>(MAX(维护参数!$B$4,ROUNDUP(I24/10000,0)))*(维护参数!$B$2)</f>
        <v>357</v>
      </c>
      <c r="L24" s="17">
        <f>ROUNDUP(C24*维护参数!$B$16/维护参数!$B$15/1000,0)*1000</f>
        <v>13000</v>
      </c>
      <c r="M24" s="17">
        <f>ROUNDUP(C24*维护参数!$B$17/维护参数!$B$15/10,0)*10</f>
        <v>130</v>
      </c>
      <c r="N24" s="17">
        <f>ROUNDUP(C24*维护参数!$B$18/维护参数!$B$15/10,0)*10</f>
        <v>130</v>
      </c>
      <c r="O24" s="17">
        <f>ROUNDUP(C24*维护参数!$B$19/维护参数!$B$15/10,0)*10</f>
        <v>190</v>
      </c>
      <c r="P24" s="16">
        <f>L24/1000*维护参数!$B$6+M24*维护参数!$B$7+N24*维护参数!$B$8+O24*维护参数!$B$9</f>
        <v>935</v>
      </c>
      <c r="Q24" s="16">
        <f>SUM(K24,P24)</f>
        <v>1292</v>
      </c>
      <c r="R24" s="18">
        <f t="shared" si="13"/>
        <v>0.344533333333333</v>
      </c>
      <c r="S24" s="16">
        <f t="shared" si="14"/>
        <v>2458</v>
      </c>
      <c r="T24" s="18">
        <f>S24/(C24)</f>
        <v>0.39328</v>
      </c>
      <c r="U24" s="16">
        <f>S24*维护参数!$B$20</f>
        <v>1597.7</v>
      </c>
      <c r="V24" s="18">
        <f>U24/(C24)</f>
        <v>0.255632</v>
      </c>
      <c r="W24" s="3"/>
      <c r="X24" s="3" t="s">
        <v>72</v>
      </c>
    </row>
    <row r="25" ht="15.2" spans="1:24">
      <c r="A25" s="3"/>
      <c r="B25" s="3"/>
      <c r="C25" s="20"/>
      <c r="D25" s="20"/>
      <c r="E25" s="20"/>
      <c r="F25" s="20"/>
      <c r="G25" s="3" t="s">
        <v>62</v>
      </c>
      <c r="H25" s="9">
        <f>(C24)*(维护参数!$B$10)</f>
        <v>4375</v>
      </c>
      <c r="I25" s="21"/>
      <c r="J25" s="3" t="s">
        <v>63</v>
      </c>
      <c r="K25" s="16">
        <f>(MAX(维护参数!$B$5,ROUNDUP(I24/10000,0)))*(维护参数!$B$3)</f>
        <v>935</v>
      </c>
      <c r="L25" s="21"/>
      <c r="M25" s="21"/>
      <c r="N25" s="21"/>
      <c r="O25" s="21"/>
      <c r="P25" s="22"/>
      <c r="Q25" s="16">
        <f>SUM(K25,P24)</f>
        <v>1870</v>
      </c>
      <c r="R25" s="18">
        <f t="shared" si="13"/>
        <v>0.427428571428571</v>
      </c>
      <c r="S25" s="16">
        <f t="shared" si="14"/>
        <v>2505</v>
      </c>
      <c r="T25" s="18">
        <f>S25/(C24)</f>
        <v>0.4008</v>
      </c>
      <c r="U25" s="16">
        <f>S25*维护参数!$B$20</f>
        <v>1628.25</v>
      </c>
      <c r="V25" s="18">
        <f>U25/(C24)</f>
        <v>0.26052</v>
      </c>
      <c r="W25" s="3"/>
      <c r="X25" s="3"/>
    </row>
    <row r="26" ht="15.2" spans="1:24">
      <c r="A26" s="3" t="s">
        <v>73</v>
      </c>
      <c r="B26" s="3" t="s">
        <v>74</v>
      </c>
      <c r="C26" s="9">
        <v>8750</v>
      </c>
      <c r="D26" s="9">
        <f>C26*0.6</f>
        <v>5250</v>
      </c>
      <c r="E26" s="26">
        <v>10000</v>
      </c>
      <c r="F26" s="26">
        <f>E26*0.6</f>
        <v>6000</v>
      </c>
      <c r="G26" s="3" t="s">
        <v>58</v>
      </c>
      <c r="H26" s="9">
        <f>(D26)*(1)</f>
        <v>5250</v>
      </c>
      <c r="I26" s="15">
        <f>ROUNDUP(C26*维护参数!$B$11/维护参数!$B$12*1000,0)</f>
        <v>233334</v>
      </c>
      <c r="J26" s="3" t="s">
        <v>59</v>
      </c>
      <c r="K26" s="16">
        <f>(MAX(维护参数!$B$4,ROUNDUP(I26/10000,0)))*(维护参数!$B$2)</f>
        <v>504</v>
      </c>
      <c r="L26" s="17">
        <f>ROUNDUP(C26*维护参数!$B$16/维护参数!$B$15/1000,0)*1000</f>
        <v>18000</v>
      </c>
      <c r="M26" s="17">
        <f>ROUNDUP(C26*维护参数!$B$17/维护参数!$B$15/10,0)*10</f>
        <v>180</v>
      </c>
      <c r="N26" s="17">
        <f>ROUNDUP(C26*维护参数!$B$18/维护参数!$B$15/10,0)*10</f>
        <v>180</v>
      </c>
      <c r="O26" s="17">
        <f>ROUNDUP(C26*维护参数!$B$19/维护参数!$B$15/10,0)*10</f>
        <v>270</v>
      </c>
      <c r="P26" s="16">
        <f>L26/1000*维护参数!$B$6+M26*维护参数!$B$7+N26*维护参数!$B$8+O26*维护参数!$B$9</f>
        <v>1296</v>
      </c>
      <c r="Q26" s="16">
        <f>SUM(K26,P26)</f>
        <v>1800</v>
      </c>
      <c r="R26" s="18">
        <f t="shared" si="13"/>
        <v>0.342857142857143</v>
      </c>
      <c r="S26" s="16">
        <f t="shared" si="14"/>
        <v>3450</v>
      </c>
      <c r="T26" s="18">
        <f>S26/(C26)</f>
        <v>0.394285714285714</v>
      </c>
      <c r="U26" s="16">
        <f>S26*维护参数!$B$20</f>
        <v>2242.5</v>
      </c>
      <c r="V26" s="18">
        <f>U26/(C26)</f>
        <v>0.256285714285714</v>
      </c>
      <c r="W26" s="3" t="s">
        <v>75</v>
      </c>
      <c r="X26" s="3" t="s">
        <v>76</v>
      </c>
    </row>
    <row r="27" ht="15.2" spans="1:24">
      <c r="A27" s="3"/>
      <c r="B27" s="3"/>
      <c r="C27" s="20"/>
      <c r="D27" s="20"/>
      <c r="E27" s="20"/>
      <c r="F27" s="20"/>
      <c r="G27" s="3" t="s">
        <v>62</v>
      </c>
      <c r="H27" s="9">
        <f>(C26)*(维护参数!$B$10)</f>
        <v>6125</v>
      </c>
      <c r="I27" s="21"/>
      <c r="J27" s="3" t="s">
        <v>63</v>
      </c>
      <c r="K27" s="16">
        <f>(MAX(维护参数!$B$5,ROUNDUP(I26/10000,0)))*(维护参数!$B$3)</f>
        <v>1320</v>
      </c>
      <c r="L27" s="21"/>
      <c r="M27" s="21"/>
      <c r="N27" s="21"/>
      <c r="O27" s="21"/>
      <c r="P27" s="22"/>
      <c r="Q27" s="16">
        <f>SUM(K27,P26)</f>
        <v>2616</v>
      </c>
      <c r="R27" s="18">
        <f t="shared" si="13"/>
        <v>0.427102040816327</v>
      </c>
      <c r="S27" s="16">
        <f t="shared" si="14"/>
        <v>3509</v>
      </c>
      <c r="T27" s="18">
        <f>S27/(C26)</f>
        <v>0.401028571428571</v>
      </c>
      <c r="U27" s="16">
        <f>S27*维护参数!$B$20</f>
        <v>2280.85</v>
      </c>
      <c r="V27" s="18">
        <f>U27/(C26)</f>
        <v>0.260668571428571</v>
      </c>
      <c r="W27" s="3"/>
      <c r="X27" s="3"/>
    </row>
    <row r="28" ht="15.2" spans="1:24">
      <c r="A28" s="3" t="s">
        <v>77</v>
      </c>
      <c r="B28" s="3" t="s">
        <v>74</v>
      </c>
      <c r="C28" s="9">
        <v>6000</v>
      </c>
      <c r="D28" s="9">
        <f>C28*0.6</f>
        <v>3600</v>
      </c>
      <c r="E28" s="26">
        <v>8000</v>
      </c>
      <c r="F28" s="26">
        <f>E28*0.6</f>
        <v>4800</v>
      </c>
      <c r="G28" s="3" t="s">
        <v>58</v>
      </c>
      <c r="H28" s="9">
        <f>(D28)*(1)</f>
        <v>3600</v>
      </c>
      <c r="I28" s="15">
        <f>ROUNDUP(C28*维护参数!$B$11/维护参数!$B$12*1000,0)</f>
        <v>160000</v>
      </c>
      <c r="J28" s="3" t="s">
        <v>59</v>
      </c>
      <c r="K28" s="16">
        <f>(MAX(维护参数!$B$4,ROUNDUP(I28/10000,0)))*(维护参数!$B$2)</f>
        <v>336</v>
      </c>
      <c r="L28" s="17">
        <f>ROUNDUP(C28*维护参数!$B$16/维护参数!$B$15/1000,0)*1000</f>
        <v>12000</v>
      </c>
      <c r="M28" s="17">
        <f>ROUNDUP(C28*维护参数!$B$17/维护参数!$B$15/10,0)*10</f>
        <v>120</v>
      </c>
      <c r="N28" s="17">
        <f>ROUNDUP(C28*维护参数!$B$18/维护参数!$B$15/10,0)*10</f>
        <v>120</v>
      </c>
      <c r="O28" s="17">
        <f>ROUNDUP(C28*维护参数!$B$19/维护参数!$B$15/10,0)*10</f>
        <v>180</v>
      </c>
      <c r="P28" s="16">
        <f>L28/1000*维护参数!$B$6+M28*维护参数!$B$7+N28*维护参数!$B$8+O28*维护参数!$B$9</f>
        <v>864</v>
      </c>
      <c r="Q28" s="16">
        <f>SUM(K28,P28)</f>
        <v>1200</v>
      </c>
      <c r="R28" s="18">
        <f t="shared" si="13"/>
        <v>0.333333333333333</v>
      </c>
      <c r="S28" s="16">
        <f t="shared" si="14"/>
        <v>2400</v>
      </c>
      <c r="T28" s="18">
        <f>S28/(C28)</f>
        <v>0.4</v>
      </c>
      <c r="U28" s="16">
        <f>S28*维护参数!$B$20</f>
        <v>1560</v>
      </c>
      <c r="V28" s="18">
        <f>U28/(C28)</f>
        <v>0.26</v>
      </c>
      <c r="W28" s="3"/>
      <c r="X28" s="3" t="s">
        <v>78</v>
      </c>
    </row>
    <row r="29" ht="15.2" spans="1:24">
      <c r="A29" s="3"/>
      <c r="B29" s="3"/>
      <c r="C29" s="20"/>
      <c r="D29" s="20"/>
      <c r="E29" s="20"/>
      <c r="F29" s="20"/>
      <c r="G29" s="3" t="s">
        <v>62</v>
      </c>
      <c r="H29" s="9">
        <f>(C28)*(维护参数!$B$10)</f>
        <v>4200</v>
      </c>
      <c r="I29" s="21"/>
      <c r="J29" s="3" t="s">
        <v>63</v>
      </c>
      <c r="K29" s="16">
        <f>(MAX(维护参数!$B$5,ROUNDUP(I28/10000,0)))*(维护参数!$B$3)</f>
        <v>880</v>
      </c>
      <c r="L29" s="21"/>
      <c r="M29" s="21"/>
      <c r="N29" s="21"/>
      <c r="O29" s="21"/>
      <c r="P29" s="22"/>
      <c r="Q29" s="16">
        <f>SUM(K29,P28)</f>
        <v>1744</v>
      </c>
      <c r="R29" s="18">
        <f t="shared" si="13"/>
        <v>0.415238095238095</v>
      </c>
      <c r="S29" s="16">
        <f t="shared" si="14"/>
        <v>2456</v>
      </c>
      <c r="T29" s="18">
        <f>S29/(C28)</f>
        <v>0.409333333333333</v>
      </c>
      <c r="U29" s="16">
        <f>S29*维护参数!$B$20</f>
        <v>1596.4</v>
      </c>
      <c r="V29" s="18">
        <f>U29/(C28)</f>
        <v>0.266066666666667</v>
      </c>
      <c r="W29" s="3"/>
      <c r="X29" s="3"/>
    </row>
    <row r="30" ht="15.2" spans="1:24">
      <c r="A30" s="3" t="s">
        <v>79</v>
      </c>
      <c r="B30" s="3" t="s">
        <v>80</v>
      </c>
      <c r="C30" s="9">
        <v>6000</v>
      </c>
      <c r="D30" s="9">
        <f>C30*0.6</f>
        <v>3600</v>
      </c>
      <c r="E30" s="14" t="s">
        <v>57</v>
      </c>
      <c r="F30" s="14" t="s">
        <v>57</v>
      </c>
      <c r="G30" s="3" t="s">
        <v>58</v>
      </c>
      <c r="H30" s="9">
        <f>(D30)*(1)</f>
        <v>3600</v>
      </c>
      <c r="I30" s="15">
        <f>ROUNDUP(C30*维护参数!$B$11/维护参数!$B$12*1000,0)</f>
        <v>160000</v>
      </c>
      <c r="J30" s="3" t="s">
        <v>59</v>
      </c>
      <c r="K30" s="16">
        <f>(MAX(维护参数!$B$4,ROUNDUP(I30/10000,0)))*(维护参数!$B$2)</f>
        <v>336</v>
      </c>
      <c r="L30" s="17">
        <f>ROUNDUP(C30*维护参数!$B$16/维护参数!$B$15/1000,0)*1000</f>
        <v>12000</v>
      </c>
      <c r="M30" s="17">
        <f>ROUNDUP(C30*维护参数!$B$17/维护参数!$B$15/10,0)*10</f>
        <v>120</v>
      </c>
      <c r="N30" s="17">
        <f>ROUNDUP(C30*维护参数!$B$18/维护参数!$B$15/10,0)*10</f>
        <v>120</v>
      </c>
      <c r="O30" s="17">
        <f>ROUNDUP(C30*维护参数!$B$19/维护参数!$B$15/10,0)*10</f>
        <v>180</v>
      </c>
      <c r="P30" s="16">
        <f>L30/1000*维护参数!$B$6+M30*维护参数!$B$7+N30*维护参数!$B$8+O30*维护参数!$B$9</f>
        <v>864</v>
      </c>
      <c r="Q30" s="16">
        <f>SUM(K30,P30)</f>
        <v>1200</v>
      </c>
      <c r="R30" s="18">
        <f t="shared" si="13"/>
        <v>0.333333333333333</v>
      </c>
      <c r="S30" s="16">
        <f t="shared" si="14"/>
        <v>2400</v>
      </c>
      <c r="T30" s="18">
        <f>S30/(C30)</f>
        <v>0.4</v>
      </c>
      <c r="U30" s="16">
        <f>S30*维护参数!$B$20</f>
        <v>1560</v>
      </c>
      <c r="V30" s="18">
        <f>U30/(C30)</f>
        <v>0.26</v>
      </c>
      <c r="W30" s="3" t="s">
        <v>81</v>
      </c>
      <c r="X30" s="3" t="s">
        <v>82</v>
      </c>
    </row>
    <row r="31" ht="15.2" spans="1:24">
      <c r="A31" s="3"/>
      <c r="B31" s="3"/>
      <c r="C31" s="20"/>
      <c r="D31" s="20"/>
      <c r="E31" s="20"/>
      <c r="F31" s="20"/>
      <c r="G31" s="3" t="s">
        <v>62</v>
      </c>
      <c r="H31" s="9">
        <f>(C30)*(维护参数!$B$10)</f>
        <v>4200</v>
      </c>
      <c r="I31" s="21"/>
      <c r="J31" s="3" t="s">
        <v>63</v>
      </c>
      <c r="K31" s="16">
        <f>(MAX(维护参数!$B$5,ROUNDUP(I30/10000,0)))*(维护参数!$B$3)</f>
        <v>880</v>
      </c>
      <c r="L31" s="21"/>
      <c r="M31" s="21"/>
      <c r="N31" s="21"/>
      <c r="O31" s="21"/>
      <c r="P31" s="22"/>
      <c r="Q31" s="16">
        <f>SUM(K31,P30)</f>
        <v>1744</v>
      </c>
      <c r="R31" s="18">
        <f t="shared" si="13"/>
        <v>0.415238095238095</v>
      </c>
      <c r="S31" s="16">
        <f t="shared" si="14"/>
        <v>2456</v>
      </c>
      <c r="T31" s="18">
        <f>S31/(C30)</f>
        <v>0.409333333333333</v>
      </c>
      <c r="U31" s="16">
        <f>S31*维护参数!$B$20</f>
        <v>1596.4</v>
      </c>
      <c r="V31" s="18">
        <f>U31/(C30)</f>
        <v>0.266066666666667</v>
      </c>
      <c r="W31" s="3"/>
      <c r="X31" s="3"/>
    </row>
    <row r="32" ht="15.2" spans="1:24">
      <c r="A32" s="3" t="s">
        <v>83</v>
      </c>
      <c r="B32" s="3" t="s">
        <v>84</v>
      </c>
      <c r="C32" s="9">
        <v>6000</v>
      </c>
      <c r="D32" s="9">
        <f>C32*0.6</f>
        <v>3600</v>
      </c>
      <c r="E32" s="26">
        <v>8000</v>
      </c>
      <c r="F32" s="26">
        <f>E32*0.6</f>
        <v>4800</v>
      </c>
      <c r="G32" s="3" t="s">
        <v>58</v>
      </c>
      <c r="H32" s="9">
        <f>(D32)*(1)</f>
        <v>3600</v>
      </c>
      <c r="I32" s="15">
        <f>ROUNDUP(C32*维护参数!$B$11/维护参数!$B$12*1000,0)</f>
        <v>160000</v>
      </c>
      <c r="J32" s="3" t="s">
        <v>59</v>
      </c>
      <c r="K32" s="16">
        <f>(MAX(维护参数!$B$4,ROUNDUP(I32/10000,0)))*(维护参数!$B$2)</f>
        <v>336</v>
      </c>
      <c r="L32" s="17">
        <f>ROUNDUP(C32*维护参数!$B$16/维护参数!$B$15/1000,0)*1000</f>
        <v>12000</v>
      </c>
      <c r="M32" s="17">
        <f>ROUNDUP(C32*维护参数!$B$17/维护参数!$B$15/10,0)*10</f>
        <v>120</v>
      </c>
      <c r="N32" s="17">
        <f>ROUNDUP(C32*维护参数!$B$18/维护参数!$B$15/10,0)*10</f>
        <v>120</v>
      </c>
      <c r="O32" s="17">
        <f>ROUNDUP(C32*维护参数!$B$19/维护参数!$B$15/10,0)*10</f>
        <v>180</v>
      </c>
      <c r="P32" s="16">
        <f>L32/1000*维护参数!$B$6+M32*维护参数!$B$7+N32*维护参数!$B$8+O32*维护参数!$B$9</f>
        <v>864</v>
      </c>
      <c r="Q32" s="16">
        <f>SUM(K32,P32)</f>
        <v>1200</v>
      </c>
      <c r="R32" s="18">
        <f t="shared" si="13"/>
        <v>0.333333333333333</v>
      </c>
      <c r="S32" s="16">
        <f t="shared" si="14"/>
        <v>2400</v>
      </c>
      <c r="T32" s="18">
        <f>S32/(C32)</f>
        <v>0.4</v>
      </c>
      <c r="U32" s="16">
        <f>S32*维护参数!$B$20</f>
        <v>1560</v>
      </c>
      <c r="V32" s="18">
        <f>U32/(C32)</f>
        <v>0.26</v>
      </c>
      <c r="W32" s="3" t="s">
        <v>85</v>
      </c>
      <c r="X32" s="3" t="s">
        <v>86</v>
      </c>
    </row>
    <row r="33" ht="15.2" spans="1:24">
      <c r="A33" s="3"/>
      <c r="B33" s="3"/>
      <c r="C33" s="20"/>
      <c r="D33" s="20"/>
      <c r="E33" s="20"/>
      <c r="F33" s="20"/>
      <c r="G33" s="3" t="s">
        <v>62</v>
      </c>
      <c r="H33" s="9">
        <f>(C32)*(维护参数!$B$10)</f>
        <v>4200</v>
      </c>
      <c r="I33" s="21"/>
      <c r="J33" s="3" t="s">
        <v>63</v>
      </c>
      <c r="K33" s="16">
        <f>(MAX(维护参数!$B$5,ROUNDUP(I32/10000,0)))*(维护参数!$B$3)</f>
        <v>880</v>
      </c>
      <c r="L33" s="21"/>
      <c r="M33" s="21"/>
      <c r="N33" s="21"/>
      <c r="O33" s="21"/>
      <c r="P33" s="22"/>
      <c r="Q33" s="16">
        <f>SUM(K33,P32)</f>
        <v>1744</v>
      </c>
      <c r="R33" s="18">
        <f t="shared" si="13"/>
        <v>0.415238095238095</v>
      </c>
      <c r="S33" s="16">
        <f t="shared" si="14"/>
        <v>2456</v>
      </c>
      <c r="T33" s="18">
        <f>S33/(C32)</f>
        <v>0.409333333333333</v>
      </c>
      <c r="U33" s="16">
        <f>S33*维护参数!$B$20</f>
        <v>1596.4</v>
      </c>
      <c r="V33" s="18">
        <f>U33/(C32)</f>
        <v>0.266066666666667</v>
      </c>
      <c r="W33" s="3"/>
      <c r="X33" s="3"/>
    </row>
    <row r="34" ht="15.2" spans="1:24">
      <c r="A34" s="3" t="s">
        <v>87</v>
      </c>
      <c r="B34" s="3" t="s">
        <v>84</v>
      </c>
      <c r="C34" s="9">
        <v>4800</v>
      </c>
      <c r="D34" s="9">
        <f>C34*0.6</f>
        <v>2880</v>
      </c>
      <c r="E34" s="26">
        <v>6000</v>
      </c>
      <c r="F34" s="26">
        <f>E34*0.6</f>
        <v>3600</v>
      </c>
      <c r="G34" s="3" t="s">
        <v>58</v>
      </c>
      <c r="H34" s="9">
        <f>(D34)*(1)</f>
        <v>2880</v>
      </c>
      <c r="I34" s="15">
        <f>ROUNDUP(C34*维护参数!$B$11/维护参数!$B$12*1000,0)</f>
        <v>128000</v>
      </c>
      <c r="J34" s="3" t="s">
        <v>59</v>
      </c>
      <c r="K34" s="16">
        <f>(MAX(维护参数!$B$4,ROUNDUP(I34/10000,0)))*(维护参数!$B$2)</f>
        <v>273</v>
      </c>
      <c r="L34" s="17">
        <f>ROUNDUP(C34*维护参数!$B$16/维护参数!$B$15/1000,0)*1000</f>
        <v>10000</v>
      </c>
      <c r="M34" s="17">
        <f>ROUNDUP(C34*维护参数!$B$17/维护参数!$B$15/10,0)*10</f>
        <v>100</v>
      </c>
      <c r="N34" s="17">
        <f>ROUNDUP(C34*维护参数!$B$18/维护参数!$B$15/10,0)*10</f>
        <v>100</v>
      </c>
      <c r="O34" s="17">
        <f>ROUNDUP(C34*维护参数!$B$19/维护参数!$B$15/10,0)*10</f>
        <v>150</v>
      </c>
      <c r="P34" s="16">
        <f>L34/1000*维护参数!$B$6+M34*维护参数!$B$7+N34*维护参数!$B$8+O34*维护参数!$B$9</f>
        <v>720</v>
      </c>
      <c r="Q34" s="16">
        <f>SUM(K34,P34)</f>
        <v>993</v>
      </c>
      <c r="R34" s="18">
        <f t="shared" si="13"/>
        <v>0.344791666666667</v>
      </c>
      <c r="S34" s="16">
        <f t="shared" si="14"/>
        <v>1887</v>
      </c>
      <c r="T34" s="18">
        <f>S34/(C34)</f>
        <v>0.393125</v>
      </c>
      <c r="U34" s="16">
        <f>S34*维护参数!$B$20</f>
        <v>1226.55</v>
      </c>
      <c r="V34" s="18">
        <f>U34/(C34)</f>
        <v>0.25553125</v>
      </c>
      <c r="W34" s="3"/>
      <c r="X34" s="3" t="s">
        <v>88</v>
      </c>
    </row>
    <row r="35" ht="15.2" spans="1:24">
      <c r="A35" s="3"/>
      <c r="B35" s="3"/>
      <c r="C35" s="20"/>
      <c r="D35" s="20"/>
      <c r="E35" s="20"/>
      <c r="F35" s="20"/>
      <c r="G35" s="3" t="s">
        <v>62</v>
      </c>
      <c r="H35" s="9">
        <f>(C34)*(维护参数!$B$10)</f>
        <v>3360</v>
      </c>
      <c r="I35" s="21"/>
      <c r="J35" s="3" t="s">
        <v>63</v>
      </c>
      <c r="K35" s="16">
        <f>(MAX(维护参数!$B$5,ROUNDUP(I34/10000,0)))*(维护参数!$B$3)</f>
        <v>715</v>
      </c>
      <c r="L35" s="21"/>
      <c r="M35" s="21"/>
      <c r="N35" s="21"/>
      <c r="O35" s="21"/>
      <c r="P35" s="22"/>
      <c r="Q35" s="16">
        <f>SUM(K35,P34)</f>
        <v>1435</v>
      </c>
      <c r="R35" s="18">
        <f t="shared" si="13"/>
        <v>0.427083333333333</v>
      </c>
      <c r="S35" s="16">
        <f t="shared" si="14"/>
        <v>1925</v>
      </c>
      <c r="T35" s="18">
        <f>S35/(C34)</f>
        <v>0.401041666666667</v>
      </c>
      <c r="U35" s="16">
        <f>S35*维护参数!$B$20</f>
        <v>1251.25</v>
      </c>
      <c r="V35" s="18">
        <f>U35/(C34)</f>
        <v>0.260677083333333</v>
      </c>
      <c r="W35" s="3"/>
      <c r="X35" s="3"/>
    </row>
    <row r="36" ht="15.2" spans="1:24">
      <c r="A36" s="3" t="s">
        <v>89</v>
      </c>
      <c r="B36" s="3" t="s">
        <v>71</v>
      </c>
      <c r="C36" s="9">
        <v>3500</v>
      </c>
      <c r="D36" s="9">
        <f>C36*0.6</f>
        <v>2100</v>
      </c>
      <c r="E36" s="26">
        <v>4500</v>
      </c>
      <c r="F36" s="26">
        <f>E36*0.6</f>
        <v>2700</v>
      </c>
      <c r="G36" s="3" t="s">
        <v>58</v>
      </c>
      <c r="H36" s="9">
        <f>(D36)*(1)</f>
        <v>2100</v>
      </c>
      <c r="I36" s="15">
        <f>ROUNDUP(C36*维护参数!$B$11/维护参数!$B$12*1000,0)</f>
        <v>93334</v>
      </c>
      <c r="J36" s="3" t="s">
        <v>59</v>
      </c>
      <c r="K36" s="16">
        <f>(MAX(维护参数!$B$4,ROUNDUP(I36/10000,0)))*(维护参数!$B$2)</f>
        <v>210</v>
      </c>
      <c r="L36" s="17">
        <f>ROUNDUP(C36*维护参数!$B$16/维护参数!$B$15/1000,0)*1000</f>
        <v>7000</v>
      </c>
      <c r="M36" s="17">
        <f>ROUNDUP(C36*维护参数!$B$17/维护参数!$B$15/10,0)*10</f>
        <v>70</v>
      </c>
      <c r="N36" s="17">
        <f>ROUNDUP(C36*维护参数!$B$18/维护参数!$B$15/10,0)*10</f>
        <v>70</v>
      </c>
      <c r="O36" s="17">
        <f>ROUNDUP(C36*维护参数!$B$19/维护参数!$B$15/10,0)*10</f>
        <v>110</v>
      </c>
      <c r="P36" s="16">
        <f>L36/1000*维护参数!$B$6+M36*维护参数!$B$7+N36*维护参数!$B$8+O36*维护参数!$B$9</f>
        <v>505</v>
      </c>
      <c r="Q36" s="16">
        <f>SUM(K36,P36)</f>
        <v>715</v>
      </c>
      <c r="R36" s="18">
        <f t="shared" si="13"/>
        <v>0.34047619047619</v>
      </c>
      <c r="S36" s="16">
        <f t="shared" si="14"/>
        <v>1385</v>
      </c>
      <c r="T36" s="18">
        <f>S36/(C36)</f>
        <v>0.395714285714286</v>
      </c>
      <c r="U36" s="16">
        <f>S36*维护参数!$B$20</f>
        <v>900.25</v>
      </c>
      <c r="V36" s="18">
        <f>U36/(C36)</f>
        <v>0.257214285714286</v>
      </c>
      <c r="W36" s="3" t="s">
        <v>81</v>
      </c>
      <c r="X36" s="3" t="s">
        <v>90</v>
      </c>
    </row>
    <row r="37" ht="15.2" spans="1:24">
      <c r="A37" s="3"/>
      <c r="B37" s="3"/>
      <c r="C37" s="20"/>
      <c r="D37" s="20"/>
      <c r="E37" s="20"/>
      <c r="F37" s="20"/>
      <c r="G37" s="3" t="s">
        <v>62</v>
      </c>
      <c r="H37" s="9">
        <f>(C36)*(维护参数!$B$10)</f>
        <v>2450</v>
      </c>
      <c r="I37" s="21"/>
      <c r="J37" s="3" t="s">
        <v>63</v>
      </c>
      <c r="K37" s="16">
        <f>(MAX(维护参数!$B$5,ROUNDUP(I36/10000,0)))*(维护参数!$B$3)</f>
        <v>550</v>
      </c>
      <c r="L37" s="21"/>
      <c r="M37" s="21"/>
      <c r="N37" s="21"/>
      <c r="O37" s="21"/>
      <c r="P37" s="22"/>
      <c r="Q37" s="16">
        <f>SUM(K37,P36)</f>
        <v>1055</v>
      </c>
      <c r="R37" s="18">
        <f t="shared" si="13"/>
        <v>0.430612244897959</v>
      </c>
      <c r="S37" s="16">
        <f t="shared" si="14"/>
        <v>1395</v>
      </c>
      <c r="T37" s="18">
        <f>S37/(C36)</f>
        <v>0.398571428571429</v>
      </c>
      <c r="U37" s="16">
        <f>S37*维护参数!$B$20</f>
        <v>906.75</v>
      </c>
      <c r="V37" s="18">
        <f>U37/(C36)</f>
        <v>0.259071428571429</v>
      </c>
      <c r="W37" s="3"/>
      <c r="X37" s="3"/>
    </row>
    <row r="38" ht="15.2" spans="1:24">
      <c r="A38" s="3" t="s">
        <v>91</v>
      </c>
      <c r="B38" s="3" t="s">
        <v>92</v>
      </c>
      <c r="C38" s="9">
        <v>7800</v>
      </c>
      <c r="D38" s="9">
        <f>C38*0.6</f>
        <v>4680</v>
      </c>
      <c r="E38" s="14" t="s">
        <v>57</v>
      </c>
      <c r="F38" s="14" t="s">
        <v>57</v>
      </c>
      <c r="G38" s="3" t="s">
        <v>58</v>
      </c>
      <c r="H38" s="9">
        <f>(D38)*(1)</f>
        <v>4680</v>
      </c>
      <c r="I38" s="15">
        <f>ROUNDUP(C38*维护参数!$B$11/维护参数!$B$12*1000,0)</f>
        <v>208000</v>
      </c>
      <c r="J38" s="3" t="s">
        <v>59</v>
      </c>
      <c r="K38" s="16">
        <f>(MAX(维护参数!$B$4,ROUNDUP(I38/10000,0)))*(维护参数!$B$2)</f>
        <v>441</v>
      </c>
      <c r="L38" s="17">
        <f>ROUNDUP(C38*维护参数!$B$16/维护参数!$B$15/1000,0)*1000</f>
        <v>16000</v>
      </c>
      <c r="M38" s="17">
        <f>ROUNDUP(C38*维护参数!$B$17/维护参数!$B$15/10,0)*10</f>
        <v>160</v>
      </c>
      <c r="N38" s="17">
        <f>ROUNDUP(C38*维护参数!$B$18/维护参数!$B$15/10,0)*10</f>
        <v>160</v>
      </c>
      <c r="O38" s="17">
        <f>ROUNDUP(C38*维护参数!$B$19/维护参数!$B$15/10,0)*10</f>
        <v>240</v>
      </c>
      <c r="P38" s="16">
        <f>L38/1000*维护参数!$B$6+M38*维护参数!$B$7+N38*维护参数!$B$8+O38*维护参数!$B$9</f>
        <v>1152</v>
      </c>
      <c r="Q38" s="16">
        <f>SUM(K38,P38)</f>
        <v>1593</v>
      </c>
      <c r="R38" s="18">
        <f t="shared" si="13"/>
        <v>0.340384615384615</v>
      </c>
      <c r="S38" s="16">
        <f t="shared" si="14"/>
        <v>3087</v>
      </c>
      <c r="T38" s="18">
        <f>S38/(C38)</f>
        <v>0.395769230769231</v>
      </c>
      <c r="U38" s="16">
        <f>S38*维护参数!$B$20</f>
        <v>2006.55</v>
      </c>
      <c r="V38" s="18">
        <f>U38/(C38)</f>
        <v>0.25725</v>
      </c>
      <c r="W38" s="3"/>
      <c r="X38" s="3" t="s">
        <v>93</v>
      </c>
    </row>
    <row r="39" ht="15.2" spans="1:24">
      <c r="A39" s="3"/>
      <c r="B39" s="3"/>
      <c r="C39" s="20"/>
      <c r="D39" s="20"/>
      <c r="E39" s="20"/>
      <c r="F39" s="20"/>
      <c r="G39" s="3" t="s">
        <v>62</v>
      </c>
      <c r="H39" s="9">
        <f>(C38)*(维护参数!$B$10)</f>
        <v>5460</v>
      </c>
      <c r="I39" s="21"/>
      <c r="J39" s="3" t="s">
        <v>63</v>
      </c>
      <c r="K39" s="16">
        <f>(MAX(维护参数!$B$5,ROUNDUP(I38/10000,0)))*(维护参数!$B$3)</f>
        <v>1155</v>
      </c>
      <c r="L39" s="21"/>
      <c r="M39" s="21"/>
      <c r="N39" s="21"/>
      <c r="O39" s="21"/>
      <c r="P39" s="22"/>
      <c r="Q39" s="16">
        <f>SUM(K39,P38)</f>
        <v>2307</v>
      </c>
      <c r="R39" s="18">
        <f t="shared" si="13"/>
        <v>0.422527472527473</v>
      </c>
      <c r="S39" s="16">
        <f t="shared" si="14"/>
        <v>3153</v>
      </c>
      <c r="T39" s="18">
        <f>S39/(C38)</f>
        <v>0.404230769230769</v>
      </c>
      <c r="U39" s="16">
        <f>S39*维护参数!$B$20</f>
        <v>2049.45</v>
      </c>
      <c r="V39" s="18">
        <f>U39/(C38)</f>
        <v>0.26275</v>
      </c>
      <c r="W39" s="3"/>
      <c r="X39" s="3"/>
    </row>
    <row r="40" ht="15.2" spans="1:24">
      <c r="A40" s="3" t="s">
        <v>94</v>
      </c>
      <c r="B40" s="3" t="s">
        <v>95</v>
      </c>
      <c r="C40" s="9">
        <v>3750</v>
      </c>
      <c r="D40" s="9">
        <f>C40*0.6</f>
        <v>2250</v>
      </c>
      <c r="E40" s="26">
        <v>5000</v>
      </c>
      <c r="F40" s="26">
        <f>E40*0.6</f>
        <v>3000</v>
      </c>
      <c r="G40" s="3" t="s">
        <v>58</v>
      </c>
      <c r="H40" s="9">
        <f>(D40)*(1)</f>
        <v>2250</v>
      </c>
      <c r="I40" s="15">
        <f>ROUNDUP(C40*维护参数!$B$11/维护参数!$B$12*1000,0)</f>
        <v>100000</v>
      </c>
      <c r="J40" s="3" t="s">
        <v>59</v>
      </c>
      <c r="K40" s="16">
        <f>(MAX(维护参数!$B$4,ROUNDUP(I40/10000,0)))*(维护参数!$B$2)</f>
        <v>210</v>
      </c>
      <c r="L40" s="17">
        <f>ROUNDUP(C40*维护参数!$B$16/维护参数!$B$15/1000,0)*1000</f>
        <v>8000</v>
      </c>
      <c r="M40" s="17">
        <f>ROUNDUP(C40*维护参数!$B$17/维护参数!$B$15/10,0)*10</f>
        <v>80</v>
      </c>
      <c r="N40" s="17">
        <f>ROUNDUP(C40*维护参数!$B$18/维护参数!$B$15/10,0)*10</f>
        <v>80</v>
      </c>
      <c r="O40" s="17">
        <f>ROUNDUP(C40*维护参数!$B$19/维护参数!$B$15/10,0)*10</f>
        <v>120</v>
      </c>
      <c r="P40" s="16">
        <f>L40/1000*维护参数!$B$6+M40*维护参数!$B$7+N40*维护参数!$B$8+O40*维护参数!$B$9</f>
        <v>576</v>
      </c>
      <c r="Q40" s="16">
        <f>SUM(K40,P40)</f>
        <v>786</v>
      </c>
      <c r="R40" s="18">
        <f t="shared" si="13"/>
        <v>0.349333333333333</v>
      </c>
      <c r="S40" s="16">
        <f t="shared" si="14"/>
        <v>1464</v>
      </c>
      <c r="T40" s="18">
        <f>S40/(C40)</f>
        <v>0.3904</v>
      </c>
      <c r="U40" s="16">
        <f>S40*维护参数!$B$20</f>
        <v>951.6</v>
      </c>
      <c r="V40" s="18">
        <f>U40/(C40)</f>
        <v>0.25376</v>
      </c>
      <c r="W40" s="3" t="s">
        <v>81</v>
      </c>
      <c r="X40" s="3" t="s">
        <v>96</v>
      </c>
    </row>
    <row r="41" ht="15.2" spans="1:24">
      <c r="A41" s="3"/>
      <c r="B41" s="3"/>
      <c r="C41" s="20"/>
      <c r="D41" s="20"/>
      <c r="E41" s="20"/>
      <c r="F41" s="20"/>
      <c r="G41" s="3" t="s">
        <v>62</v>
      </c>
      <c r="H41" s="9">
        <f>(C40)*(维护参数!$B$10)</f>
        <v>2625</v>
      </c>
      <c r="I41" s="21"/>
      <c r="J41" s="3" t="s">
        <v>63</v>
      </c>
      <c r="K41" s="16">
        <f>(MAX(维护参数!$B$5,ROUNDUP(I40/10000,0)))*(维护参数!$B$3)</f>
        <v>550</v>
      </c>
      <c r="L41" s="21"/>
      <c r="M41" s="21"/>
      <c r="N41" s="21"/>
      <c r="O41" s="21"/>
      <c r="P41" s="22"/>
      <c r="Q41" s="16">
        <f>SUM(K41,P40)</f>
        <v>1126</v>
      </c>
      <c r="R41" s="18">
        <f t="shared" si="13"/>
        <v>0.428952380952381</v>
      </c>
      <c r="S41" s="16">
        <f t="shared" si="14"/>
        <v>1499</v>
      </c>
      <c r="T41" s="18">
        <f>S41/(C40)</f>
        <v>0.399733333333333</v>
      </c>
      <c r="U41" s="16">
        <f>S41*维护参数!$B$20</f>
        <v>974.35</v>
      </c>
      <c r="V41" s="18">
        <f>U41/(C40)</f>
        <v>0.259826666666667</v>
      </c>
      <c r="W41" s="3"/>
      <c r="X41" s="3"/>
    </row>
    <row r="42" ht="15.2" spans="1:24">
      <c r="A42" s="3" t="s">
        <v>97</v>
      </c>
      <c r="B42" s="3" t="s">
        <v>95</v>
      </c>
      <c r="C42" s="9">
        <v>3000</v>
      </c>
      <c r="D42" s="9">
        <f>C42*0.6</f>
        <v>1800</v>
      </c>
      <c r="E42" s="26">
        <v>5000</v>
      </c>
      <c r="F42" s="26">
        <f>E42*0.6</f>
        <v>3000</v>
      </c>
      <c r="G42" s="3" t="s">
        <v>58</v>
      </c>
      <c r="H42" s="9">
        <f>(D42)*(1)</f>
        <v>1800</v>
      </c>
      <c r="I42" s="15">
        <f>ROUNDUP(C42*维护参数!$B$11/维护参数!$B$12*1000,0)</f>
        <v>80000</v>
      </c>
      <c r="J42" s="3" t="s">
        <v>59</v>
      </c>
      <c r="K42" s="16">
        <f>(MAX(维护参数!$B$4,ROUNDUP(I42/10000,0)))*(维护参数!$B$2)</f>
        <v>210</v>
      </c>
      <c r="L42" s="17">
        <f>ROUNDUP(C42*维护参数!$B$16/维护参数!$B$15/1000,0)*1000</f>
        <v>6000</v>
      </c>
      <c r="M42" s="17">
        <f>ROUNDUP(C42*维护参数!$B$17/维护参数!$B$15/10,0)*10</f>
        <v>60</v>
      </c>
      <c r="N42" s="17">
        <f>ROUNDUP(C42*维护参数!$B$18/维护参数!$B$15/10,0)*10</f>
        <v>60</v>
      </c>
      <c r="O42" s="17">
        <f>ROUNDUP(C42*维护参数!$B$19/维护参数!$B$15/10,0)*10</f>
        <v>90</v>
      </c>
      <c r="P42" s="16">
        <f>L42/1000*维护参数!$B$6+M42*维护参数!$B$7+N42*维护参数!$B$8+O42*维护参数!$B$9</f>
        <v>432</v>
      </c>
      <c r="Q42" s="16">
        <f>SUM(K42,P42)</f>
        <v>642</v>
      </c>
      <c r="R42" s="18">
        <f t="shared" si="13"/>
        <v>0.356666666666667</v>
      </c>
      <c r="S42" s="16">
        <f t="shared" si="14"/>
        <v>1158</v>
      </c>
      <c r="T42" s="18">
        <f>S42/(C42)</f>
        <v>0.386</v>
      </c>
      <c r="U42" s="16">
        <f>S42*维护参数!$B$20</f>
        <v>752.7</v>
      </c>
      <c r="V42" s="18">
        <f>U42/(C42)</f>
        <v>0.2509</v>
      </c>
      <c r="W42" s="27" t="s">
        <v>98</v>
      </c>
      <c r="X42" s="3" t="s">
        <v>99</v>
      </c>
    </row>
    <row r="43" ht="15.2" spans="1:24">
      <c r="A43" s="3"/>
      <c r="B43" s="3"/>
      <c r="C43" s="20"/>
      <c r="D43" s="20"/>
      <c r="E43" s="20"/>
      <c r="F43" s="20"/>
      <c r="G43" s="3" t="s">
        <v>62</v>
      </c>
      <c r="H43" s="9">
        <f>(C42)*(维护参数!$B$10)</f>
        <v>2100</v>
      </c>
      <c r="I43" s="21"/>
      <c r="J43" s="3" t="s">
        <v>63</v>
      </c>
      <c r="K43" s="16">
        <f>(MAX(维护参数!$B$5,ROUNDUP(I42/10000,0)))*(维护参数!$B$3)</f>
        <v>440</v>
      </c>
      <c r="L43" s="21"/>
      <c r="M43" s="21"/>
      <c r="N43" s="21"/>
      <c r="O43" s="21"/>
      <c r="P43" s="22"/>
      <c r="Q43" s="16">
        <f>SUM(K43,P42)</f>
        <v>872</v>
      </c>
      <c r="R43" s="18">
        <f t="shared" si="13"/>
        <v>0.415238095238095</v>
      </c>
      <c r="S43" s="16">
        <f t="shared" si="14"/>
        <v>1228</v>
      </c>
      <c r="T43" s="18">
        <f>S43/(C42)</f>
        <v>0.409333333333333</v>
      </c>
      <c r="U43" s="16">
        <f>S43*维护参数!$B$20</f>
        <v>798.2</v>
      </c>
      <c r="V43" s="18">
        <f>U43/(C42)</f>
        <v>0.266066666666667</v>
      </c>
      <c r="W43" s="3"/>
      <c r="X43" s="3"/>
    </row>
    <row r="44" ht="15.2" spans="1:24">
      <c r="A44" s="3" t="s">
        <v>100</v>
      </c>
      <c r="B44" s="3" t="s">
        <v>80</v>
      </c>
      <c r="C44" s="9">
        <v>7150</v>
      </c>
      <c r="D44" s="9">
        <f>C44*0.6</f>
        <v>4290</v>
      </c>
      <c r="E44" s="14" t="s">
        <v>57</v>
      </c>
      <c r="F44" s="14" t="s">
        <v>57</v>
      </c>
      <c r="G44" s="3" t="s">
        <v>58</v>
      </c>
      <c r="H44" s="9">
        <f>(D44)*(1)</f>
        <v>4290</v>
      </c>
      <c r="I44" s="15">
        <f>ROUNDUP(C44*维护参数!$B$11/维护参数!$B$12*1000,0)</f>
        <v>190667</v>
      </c>
      <c r="J44" s="3" t="s">
        <v>59</v>
      </c>
      <c r="K44" s="16">
        <f>(MAX(维护参数!$B$4,ROUNDUP(I44/10000,0)))*(维护参数!$B$2)</f>
        <v>420</v>
      </c>
      <c r="L44" s="17">
        <f>ROUNDUP(C44*维护参数!$B$16/维护参数!$B$15/1000,0)*1000</f>
        <v>15000</v>
      </c>
      <c r="M44" s="17">
        <f>ROUNDUP(C44*维护参数!$B$17/维护参数!$B$15/10,0)*10</f>
        <v>150</v>
      </c>
      <c r="N44" s="17">
        <f>ROUNDUP(C44*维护参数!$B$18/维护参数!$B$15/10,0)*10</f>
        <v>150</v>
      </c>
      <c r="O44" s="17">
        <f>ROUNDUP(C44*维护参数!$B$19/维护参数!$B$15/10,0)*10</f>
        <v>220</v>
      </c>
      <c r="P44" s="16">
        <f>L44/1000*维护参数!$B$6+M44*维护参数!$B$7+N44*维护参数!$B$8+O44*维护参数!$B$9</f>
        <v>1079</v>
      </c>
      <c r="Q44" s="16">
        <f>SUM(K44,P44)</f>
        <v>1499</v>
      </c>
      <c r="R44" s="18">
        <f t="shared" si="13"/>
        <v>0.349417249417249</v>
      </c>
      <c r="S44" s="16">
        <f t="shared" si="14"/>
        <v>2791</v>
      </c>
      <c r="T44" s="18">
        <f>S44/(C44)</f>
        <v>0.39034965034965</v>
      </c>
      <c r="U44" s="16">
        <f>S44*维护参数!$B$20</f>
        <v>1814.15</v>
      </c>
      <c r="V44" s="18">
        <f>U44/(C44)</f>
        <v>0.253727272727273</v>
      </c>
      <c r="W44" s="3" t="s">
        <v>81</v>
      </c>
      <c r="X44" s="3" t="s">
        <v>101</v>
      </c>
    </row>
    <row r="45" ht="15.2" spans="1:24">
      <c r="A45" s="3"/>
      <c r="B45" s="3"/>
      <c r="C45" s="20"/>
      <c r="D45" s="20"/>
      <c r="E45" s="20"/>
      <c r="F45" s="20"/>
      <c r="G45" s="3" t="s">
        <v>62</v>
      </c>
      <c r="H45" s="9">
        <f>(C44)*(维护参数!$B$10)</f>
        <v>5005</v>
      </c>
      <c r="I45" s="21"/>
      <c r="J45" s="3" t="s">
        <v>63</v>
      </c>
      <c r="K45" s="16">
        <f>(MAX(维护参数!$B$5,ROUNDUP(I44/10000,0)))*(维护参数!$B$3)</f>
        <v>1100</v>
      </c>
      <c r="L45" s="21"/>
      <c r="M45" s="21"/>
      <c r="N45" s="21"/>
      <c r="O45" s="21"/>
      <c r="P45" s="22"/>
      <c r="Q45" s="16">
        <f>SUM(K45,P44)</f>
        <v>2179</v>
      </c>
      <c r="R45" s="18">
        <f t="shared" si="13"/>
        <v>0.435364635364635</v>
      </c>
      <c r="S45" s="16">
        <f t="shared" si="14"/>
        <v>2826</v>
      </c>
      <c r="T45" s="18">
        <f>S45/(C44)</f>
        <v>0.395244755244755</v>
      </c>
      <c r="U45" s="16">
        <f>S45*维护参数!$B$20</f>
        <v>1836.9</v>
      </c>
      <c r="V45" s="18">
        <f>U45/(C44)</f>
        <v>0.256909090909091</v>
      </c>
      <c r="W45" s="3"/>
      <c r="X45" s="3"/>
    </row>
    <row r="46" ht="15.2" spans="1:24">
      <c r="A46" s="3" t="s">
        <v>102</v>
      </c>
      <c r="B46" s="3" t="s">
        <v>95</v>
      </c>
      <c r="C46" s="9">
        <v>7000</v>
      </c>
      <c r="D46" s="9">
        <f>C46*0.6</f>
        <v>4200</v>
      </c>
      <c r="E46" s="14" t="s">
        <v>57</v>
      </c>
      <c r="F46" s="14" t="s">
        <v>57</v>
      </c>
      <c r="G46" s="3" t="s">
        <v>58</v>
      </c>
      <c r="H46" s="9">
        <f>(D46)*(1)</f>
        <v>4200</v>
      </c>
      <c r="I46" s="15">
        <f>ROUNDUP(C46*维护参数!$B$11/维护参数!$B$12*1000,0)</f>
        <v>186667</v>
      </c>
      <c r="J46" s="3" t="s">
        <v>59</v>
      </c>
      <c r="K46" s="16">
        <f>(MAX(维护参数!$B$4,ROUNDUP(I46/10000,0)))*(维护参数!$B$2)</f>
        <v>399</v>
      </c>
      <c r="L46" s="17">
        <f>ROUNDUP(C46*维护参数!$B$16/维护参数!$B$15/1000,0)*1000</f>
        <v>14000</v>
      </c>
      <c r="M46" s="17">
        <f>ROUNDUP(C46*维护参数!$B$17/维护参数!$B$15/10,0)*10</f>
        <v>140</v>
      </c>
      <c r="N46" s="17">
        <f>ROUNDUP(C46*维护参数!$B$18/维护参数!$B$15/10,0)*10</f>
        <v>140</v>
      </c>
      <c r="O46" s="17">
        <f>ROUNDUP(C46*维护参数!$B$19/维护参数!$B$15/10,0)*10</f>
        <v>210</v>
      </c>
      <c r="P46" s="16">
        <f>L46/1000*维护参数!$B$6+M46*维护参数!$B$7+N46*维护参数!$B$8+O46*维护参数!$B$9</f>
        <v>1008</v>
      </c>
      <c r="Q46" s="16">
        <f>SUM(K46,P46)</f>
        <v>1407</v>
      </c>
      <c r="R46" s="18">
        <f t="shared" si="13"/>
        <v>0.335</v>
      </c>
      <c r="S46" s="16">
        <f t="shared" si="14"/>
        <v>2793</v>
      </c>
      <c r="T46" s="18">
        <f>S46/(C46)</f>
        <v>0.399</v>
      </c>
      <c r="U46" s="16">
        <f>S46*维护参数!$B$20</f>
        <v>1815.45</v>
      </c>
      <c r="V46" s="18">
        <f>U46/(C46)</f>
        <v>0.25935</v>
      </c>
      <c r="W46" s="3" t="s">
        <v>103</v>
      </c>
      <c r="X46" s="3" t="s">
        <v>104</v>
      </c>
    </row>
    <row r="47" ht="15.2" spans="1:24">
      <c r="A47" s="3"/>
      <c r="B47" s="3"/>
      <c r="C47" s="20"/>
      <c r="D47" s="20"/>
      <c r="E47" s="20"/>
      <c r="F47" s="20"/>
      <c r="G47" s="3" t="s">
        <v>62</v>
      </c>
      <c r="H47" s="9">
        <f>(C46)*(维护参数!$B$10)</f>
        <v>4900</v>
      </c>
      <c r="I47" s="21"/>
      <c r="J47" s="3" t="s">
        <v>63</v>
      </c>
      <c r="K47" s="16">
        <f>(MAX(维护参数!$B$5,ROUNDUP(I46/10000,0)))*(维护参数!$B$3)</f>
        <v>1045</v>
      </c>
      <c r="L47" s="21"/>
      <c r="M47" s="21"/>
      <c r="N47" s="21"/>
      <c r="O47" s="21"/>
      <c r="P47" s="22"/>
      <c r="Q47" s="16">
        <f>SUM(K47,P46)</f>
        <v>2053</v>
      </c>
      <c r="R47" s="18">
        <f t="shared" si="13"/>
        <v>0.418979591836735</v>
      </c>
      <c r="S47" s="16">
        <f t="shared" si="14"/>
        <v>2847</v>
      </c>
      <c r="T47" s="18">
        <f>S47/(C46)</f>
        <v>0.406714285714286</v>
      </c>
      <c r="U47" s="16">
        <f>S47*维护参数!$B$20</f>
        <v>1850.55</v>
      </c>
      <c r="V47" s="18">
        <f>U47/(C46)</f>
        <v>0.264364285714286</v>
      </c>
      <c r="W47" s="3"/>
      <c r="X47" s="3"/>
    </row>
    <row r="48" ht="15.2" spans="1:24">
      <c r="A48" s="3" t="s">
        <v>105</v>
      </c>
      <c r="B48" s="3" t="s">
        <v>95</v>
      </c>
      <c r="C48" s="9">
        <v>5500</v>
      </c>
      <c r="D48" s="9">
        <f>C48*0.6</f>
        <v>3300</v>
      </c>
      <c r="E48" s="14" t="s">
        <v>57</v>
      </c>
      <c r="F48" s="14" t="s">
        <v>57</v>
      </c>
      <c r="G48" s="3" t="s">
        <v>58</v>
      </c>
      <c r="H48" s="9">
        <f>(D48)*(1)</f>
        <v>3300</v>
      </c>
      <c r="I48" s="15">
        <f>ROUNDUP(C48*维护参数!$B$11/维护参数!$B$12*1000,0)</f>
        <v>146667</v>
      </c>
      <c r="J48" s="3" t="s">
        <v>59</v>
      </c>
      <c r="K48" s="16">
        <f>(MAX(维护参数!$B$4,ROUNDUP(I48/10000,0)))*(维护参数!$B$2)</f>
        <v>315</v>
      </c>
      <c r="L48" s="17">
        <f>ROUNDUP(C48*维护参数!$B$16/维护参数!$B$15/1000,0)*1000</f>
        <v>11000</v>
      </c>
      <c r="M48" s="17">
        <f>ROUNDUP(C48*维护参数!$B$17/维护参数!$B$15/10,0)*10</f>
        <v>110</v>
      </c>
      <c r="N48" s="17">
        <f>ROUNDUP(C48*维护参数!$B$18/维护参数!$B$15/10,0)*10</f>
        <v>110</v>
      </c>
      <c r="O48" s="17">
        <f>ROUNDUP(C48*维护参数!$B$19/维护参数!$B$15/10,0)*10</f>
        <v>170</v>
      </c>
      <c r="P48" s="16">
        <f>L48/1000*维护参数!$B$6+M48*维护参数!$B$7+N48*维护参数!$B$8+O48*维护参数!$B$9</f>
        <v>793</v>
      </c>
      <c r="Q48" s="16">
        <f>SUM(K48,P48)</f>
        <v>1108</v>
      </c>
      <c r="R48" s="18">
        <f t="shared" si="13"/>
        <v>0.335757575757576</v>
      </c>
      <c r="S48" s="16">
        <f t="shared" si="14"/>
        <v>2192</v>
      </c>
      <c r="T48" s="18">
        <f>S48/(C48)</f>
        <v>0.398545454545455</v>
      </c>
      <c r="U48" s="16">
        <f>S48*维护参数!$B$20</f>
        <v>1424.8</v>
      </c>
      <c r="V48" s="18">
        <f>U48/(C48)</f>
        <v>0.259054545454545</v>
      </c>
      <c r="W48" s="3" t="s">
        <v>106</v>
      </c>
      <c r="X48" s="3" t="s">
        <v>107</v>
      </c>
    </row>
    <row r="49" ht="15.2" spans="1:24">
      <c r="A49" s="3"/>
      <c r="B49" s="3"/>
      <c r="C49" s="20"/>
      <c r="D49" s="20"/>
      <c r="E49" s="20"/>
      <c r="F49" s="20"/>
      <c r="G49" s="3" t="s">
        <v>62</v>
      </c>
      <c r="H49" s="9">
        <f>(C48)*(维护参数!$B$10)</f>
        <v>3850</v>
      </c>
      <c r="I49" s="21"/>
      <c r="J49" s="3" t="s">
        <v>63</v>
      </c>
      <c r="K49" s="16">
        <f>(MAX(维护参数!$B$5,ROUNDUP(I48/10000,0)))*(维护参数!$B$3)</f>
        <v>825</v>
      </c>
      <c r="L49" s="21"/>
      <c r="M49" s="21"/>
      <c r="N49" s="21"/>
      <c r="O49" s="21"/>
      <c r="P49" s="22"/>
      <c r="Q49" s="16">
        <f>SUM(K49,P48)</f>
        <v>1618</v>
      </c>
      <c r="R49" s="18">
        <f t="shared" si="13"/>
        <v>0.42025974025974</v>
      </c>
      <c r="S49" s="16">
        <f t="shared" si="14"/>
        <v>2232</v>
      </c>
      <c r="T49" s="18">
        <f>S49/(C48)</f>
        <v>0.405818181818182</v>
      </c>
      <c r="U49" s="16">
        <f>S49*维护参数!$B$20</f>
        <v>1450.8</v>
      </c>
      <c r="V49" s="18">
        <f>U49/(C48)</f>
        <v>0.263781818181818</v>
      </c>
      <c r="W49" s="3"/>
      <c r="X49" s="3"/>
    </row>
    <row r="50" ht="15.2" spans="1:24">
      <c r="A50" s="3" t="s">
        <v>108</v>
      </c>
      <c r="B50" s="3" t="s">
        <v>71</v>
      </c>
      <c r="C50" s="9">
        <v>5000</v>
      </c>
      <c r="D50" s="9">
        <f>C50*0.6</f>
        <v>3000</v>
      </c>
      <c r="E50" s="14" t="s">
        <v>57</v>
      </c>
      <c r="F50" s="14" t="s">
        <v>57</v>
      </c>
      <c r="G50" s="3" t="s">
        <v>58</v>
      </c>
      <c r="H50" s="9">
        <f>(D50)*(1)</f>
        <v>3000</v>
      </c>
      <c r="I50" s="15">
        <f>ROUNDUP(C50*维护参数!$B$11/维护参数!$B$12*1000,0)</f>
        <v>133334</v>
      </c>
      <c r="J50" s="3" t="s">
        <v>59</v>
      </c>
      <c r="K50" s="16">
        <f>(MAX(维护参数!$B$4,ROUNDUP(I50/10000,0)))*(维护参数!$B$2)</f>
        <v>294</v>
      </c>
      <c r="L50" s="17">
        <f>ROUNDUP(C50*维护参数!$B$16/维护参数!$B$15/1000,0)*1000</f>
        <v>10000</v>
      </c>
      <c r="M50" s="17">
        <f>ROUNDUP(C50*维护参数!$B$17/维护参数!$B$15/10,0)*10</f>
        <v>100</v>
      </c>
      <c r="N50" s="17">
        <f>ROUNDUP(C50*维护参数!$B$18/维护参数!$B$15/10,0)*10</f>
        <v>100</v>
      </c>
      <c r="O50" s="17">
        <f>ROUNDUP(C50*维护参数!$B$19/维护参数!$B$15/10,0)*10</f>
        <v>150</v>
      </c>
      <c r="P50" s="16">
        <f>L50/1000*维护参数!$B$6+M50*维护参数!$B$7+N50*维护参数!$B$8+O50*维护参数!$B$9</f>
        <v>720</v>
      </c>
      <c r="Q50" s="16">
        <f>SUM(K50,P50)</f>
        <v>1014</v>
      </c>
      <c r="R50" s="18">
        <f t="shared" si="13"/>
        <v>0.338</v>
      </c>
      <c r="S50" s="16">
        <f t="shared" si="14"/>
        <v>1986</v>
      </c>
      <c r="T50" s="18">
        <f>S50/(C50)</f>
        <v>0.3972</v>
      </c>
      <c r="U50" s="16">
        <f>S50*维护参数!$B$20</f>
        <v>1290.9</v>
      </c>
      <c r="V50" s="18">
        <f>U50/(C50)</f>
        <v>0.25818</v>
      </c>
      <c r="W50" s="3" t="s">
        <v>106</v>
      </c>
      <c r="X50" s="3" t="s">
        <v>109</v>
      </c>
    </row>
    <row r="51" ht="15.2" spans="1:24">
      <c r="A51" s="3"/>
      <c r="B51" s="3"/>
      <c r="C51" s="20"/>
      <c r="D51" s="20"/>
      <c r="E51" s="20"/>
      <c r="F51" s="20"/>
      <c r="G51" s="3" t="s">
        <v>62</v>
      </c>
      <c r="H51" s="9">
        <f>(C50)*(维护参数!$B$10)</f>
        <v>3500</v>
      </c>
      <c r="I51" s="21"/>
      <c r="J51" s="3" t="s">
        <v>63</v>
      </c>
      <c r="K51" s="16">
        <f>(MAX(维护参数!$B$5,ROUNDUP(I50/10000,0)))*(维护参数!$B$3)</f>
        <v>770</v>
      </c>
      <c r="L51" s="21"/>
      <c r="M51" s="21"/>
      <c r="N51" s="21"/>
      <c r="O51" s="21"/>
      <c r="P51" s="22"/>
      <c r="Q51" s="16">
        <f>SUM(K51,P50)</f>
        <v>1490</v>
      </c>
      <c r="R51" s="18">
        <f t="shared" si="13"/>
        <v>0.425714285714286</v>
      </c>
      <c r="S51" s="16">
        <f t="shared" si="14"/>
        <v>2010</v>
      </c>
      <c r="T51" s="18">
        <f>S51/(C50)</f>
        <v>0.402</v>
      </c>
      <c r="U51" s="16">
        <f>S51*维护参数!$B$20</f>
        <v>1306.5</v>
      </c>
      <c r="V51" s="18">
        <f>U51/(C50)</f>
        <v>0.2613</v>
      </c>
      <c r="W51" s="3"/>
      <c r="X51" s="3"/>
    </row>
    <row r="52" ht="15.2" spans="1:24">
      <c r="A52" s="3" t="s">
        <v>110</v>
      </c>
      <c r="B52" s="3" t="s">
        <v>71</v>
      </c>
      <c r="C52" s="9">
        <v>5000</v>
      </c>
      <c r="D52" s="9">
        <f>C52*0.6</f>
        <v>3000</v>
      </c>
      <c r="E52" s="14" t="s">
        <v>57</v>
      </c>
      <c r="F52" s="14" t="s">
        <v>57</v>
      </c>
      <c r="G52" s="3" t="s">
        <v>58</v>
      </c>
      <c r="H52" s="9">
        <f>(D52)*(1)</f>
        <v>3000</v>
      </c>
      <c r="I52" s="15">
        <f>ROUNDUP(C52*维护参数!$B$11/维护参数!$B$12*1000,0)</f>
        <v>133334</v>
      </c>
      <c r="J52" s="3" t="s">
        <v>59</v>
      </c>
      <c r="K52" s="16">
        <f>(MAX(维护参数!$B$4,ROUNDUP(I52/10000,0)))*(维护参数!$B$2)</f>
        <v>294</v>
      </c>
      <c r="L52" s="17">
        <f>ROUNDUP(C52*维护参数!$B$16/维护参数!$B$15/1000,0)*1000</f>
        <v>10000</v>
      </c>
      <c r="M52" s="17">
        <f>ROUNDUP(C52*维护参数!$B$17/维护参数!$B$15/10,0)*10</f>
        <v>100</v>
      </c>
      <c r="N52" s="17">
        <f>ROUNDUP(C52*维护参数!$B$18/维护参数!$B$15/10,0)*10</f>
        <v>100</v>
      </c>
      <c r="O52" s="17">
        <f>ROUNDUP(C52*维护参数!$B$19/维护参数!$B$15/10,0)*10</f>
        <v>150</v>
      </c>
      <c r="P52" s="16">
        <f>L52/1000*维护参数!$B$6+M52*维护参数!$B$7+N52*维护参数!$B$8+O52*维护参数!$B$9</f>
        <v>720</v>
      </c>
      <c r="Q52" s="16">
        <f>SUM(K52,P52)</f>
        <v>1014</v>
      </c>
      <c r="R52" s="18">
        <f t="shared" si="13"/>
        <v>0.338</v>
      </c>
      <c r="S52" s="16">
        <f t="shared" si="14"/>
        <v>1986</v>
      </c>
      <c r="T52" s="18">
        <f>S52/(C52)</f>
        <v>0.3972</v>
      </c>
      <c r="U52" s="16">
        <f>S52*维护参数!$B$20</f>
        <v>1290.9</v>
      </c>
      <c r="V52" s="18">
        <f>U52/(C52)</f>
        <v>0.25818</v>
      </c>
      <c r="W52" s="3" t="s">
        <v>106</v>
      </c>
      <c r="X52" s="3" t="s">
        <v>111</v>
      </c>
    </row>
    <row r="53" ht="15.2" spans="1:24">
      <c r="A53" s="3"/>
      <c r="B53" s="3"/>
      <c r="C53" s="20"/>
      <c r="D53" s="20"/>
      <c r="E53" s="20"/>
      <c r="F53" s="20"/>
      <c r="G53" s="3" t="s">
        <v>62</v>
      </c>
      <c r="H53" s="9">
        <f>(C52)*(维护参数!$B$10)</f>
        <v>3500</v>
      </c>
      <c r="I53" s="21"/>
      <c r="J53" s="3" t="s">
        <v>63</v>
      </c>
      <c r="K53" s="16">
        <f>(MAX(维护参数!$B$5,ROUNDUP(I52/10000,0)))*(维护参数!$B$3)</f>
        <v>770</v>
      </c>
      <c r="L53" s="21"/>
      <c r="M53" s="21"/>
      <c r="N53" s="21"/>
      <c r="O53" s="21"/>
      <c r="P53" s="22"/>
      <c r="Q53" s="16">
        <f>SUM(K53,P52)</f>
        <v>1490</v>
      </c>
      <c r="R53" s="18">
        <f t="shared" si="13"/>
        <v>0.425714285714286</v>
      </c>
      <c r="S53" s="16">
        <f t="shared" si="14"/>
        <v>2010</v>
      </c>
      <c r="T53" s="18">
        <f>S53/(C52)</f>
        <v>0.402</v>
      </c>
      <c r="U53" s="16">
        <f>S53*维护参数!$B$20</f>
        <v>1306.5</v>
      </c>
      <c r="V53" s="18">
        <f>U53/(C52)</f>
        <v>0.2613</v>
      </c>
      <c r="W53" s="3"/>
      <c r="X53" s="3"/>
    </row>
    <row r="54" ht="15.2" spans="1:24">
      <c r="A54" s="3" t="s">
        <v>112</v>
      </c>
      <c r="B54" s="3" t="s">
        <v>71</v>
      </c>
      <c r="C54" s="9">
        <v>5000</v>
      </c>
      <c r="D54" s="9">
        <f>C54*0.6</f>
        <v>3000</v>
      </c>
      <c r="E54" s="14" t="s">
        <v>57</v>
      </c>
      <c r="F54" s="14" t="s">
        <v>57</v>
      </c>
      <c r="G54" s="3" t="s">
        <v>58</v>
      </c>
      <c r="H54" s="9">
        <f>(D54)*(1)</f>
        <v>3000</v>
      </c>
      <c r="I54" s="15">
        <f>ROUNDUP(C54*维护参数!$B$11/维护参数!$B$12*1000,0)</f>
        <v>133334</v>
      </c>
      <c r="J54" s="3" t="s">
        <v>59</v>
      </c>
      <c r="K54" s="16">
        <f>(MAX(维护参数!$B$4,ROUNDUP(I54/10000,0)))*(维护参数!$B$2)</f>
        <v>294</v>
      </c>
      <c r="L54" s="17">
        <f>ROUNDUP(C54*维护参数!$B$16/维护参数!$B$15/1000,0)*1000</f>
        <v>10000</v>
      </c>
      <c r="M54" s="17">
        <f>ROUNDUP(C54*维护参数!$B$17/维护参数!$B$15/10,0)*10</f>
        <v>100</v>
      </c>
      <c r="N54" s="17">
        <f>ROUNDUP(C54*维护参数!$B$18/维护参数!$B$15/10,0)*10</f>
        <v>100</v>
      </c>
      <c r="O54" s="17">
        <f>ROUNDUP(C54*维护参数!$B$19/维护参数!$B$15/10,0)*10</f>
        <v>150</v>
      </c>
      <c r="P54" s="16">
        <f>L54/1000*维护参数!$B$6+M54*维护参数!$B$7+N54*维护参数!$B$8+O54*维护参数!$B$9</f>
        <v>720</v>
      </c>
      <c r="Q54" s="16">
        <f>SUM(K54,P54)</f>
        <v>1014</v>
      </c>
      <c r="R54" s="18">
        <f t="shared" si="13"/>
        <v>0.338</v>
      </c>
      <c r="S54" s="16">
        <f t="shared" si="14"/>
        <v>1986</v>
      </c>
      <c r="T54" s="18">
        <f>S54/(C54)</f>
        <v>0.3972</v>
      </c>
      <c r="U54" s="16">
        <f>S54*维护参数!$B$20</f>
        <v>1290.9</v>
      </c>
      <c r="V54" s="18">
        <f>U54/(C54)</f>
        <v>0.25818</v>
      </c>
      <c r="W54" s="3" t="s">
        <v>106</v>
      </c>
      <c r="X54" s="3" t="s">
        <v>113</v>
      </c>
    </row>
    <row r="55" ht="15.2" spans="1:24">
      <c r="A55" s="3"/>
      <c r="B55" s="3"/>
      <c r="C55" s="20"/>
      <c r="D55" s="20"/>
      <c r="E55" s="20"/>
      <c r="F55" s="20"/>
      <c r="G55" s="3" t="s">
        <v>62</v>
      </c>
      <c r="H55" s="9">
        <f>(C54)*(维护参数!$B$10)</f>
        <v>3500</v>
      </c>
      <c r="I55" s="21"/>
      <c r="J55" s="3" t="s">
        <v>63</v>
      </c>
      <c r="K55" s="16">
        <f>(MAX(维护参数!$B$5,ROUNDUP(I54/10000,0)))*(维护参数!$B$3)</f>
        <v>770</v>
      </c>
      <c r="L55" s="21"/>
      <c r="M55" s="21"/>
      <c r="N55" s="21"/>
      <c r="O55" s="21"/>
      <c r="P55" s="22"/>
      <c r="Q55" s="16">
        <f>SUM(K55,P54)</f>
        <v>1490</v>
      </c>
      <c r="R55" s="18">
        <f t="shared" si="13"/>
        <v>0.425714285714286</v>
      </c>
      <c r="S55" s="16">
        <f t="shared" si="14"/>
        <v>2010</v>
      </c>
      <c r="T55" s="18">
        <f>S55/(C54)</f>
        <v>0.402</v>
      </c>
      <c r="U55" s="16">
        <f>S55*维护参数!$B$20</f>
        <v>1306.5</v>
      </c>
      <c r="V55" s="18">
        <f>U55/(C54)</f>
        <v>0.2613</v>
      </c>
      <c r="W55" s="3"/>
      <c r="X55" s="3"/>
    </row>
    <row r="56" ht="15.2" spans="1:24">
      <c r="A56" s="3" t="s">
        <v>114</v>
      </c>
      <c r="B56" s="3" t="s">
        <v>71</v>
      </c>
      <c r="C56" s="9">
        <v>7800</v>
      </c>
      <c r="D56" s="9">
        <f>C56*0.6</f>
        <v>4680</v>
      </c>
      <c r="E56" s="14" t="s">
        <v>57</v>
      </c>
      <c r="F56" s="14" t="s">
        <v>57</v>
      </c>
      <c r="G56" s="3" t="s">
        <v>58</v>
      </c>
      <c r="H56" s="9">
        <f>(D56)*(1)</f>
        <v>4680</v>
      </c>
      <c r="I56" s="15">
        <f>ROUNDUP(C56*维护参数!$B$11/维护参数!$B$12*1000,0)</f>
        <v>208000</v>
      </c>
      <c r="J56" s="3" t="s">
        <v>59</v>
      </c>
      <c r="K56" s="16">
        <f>(MAX(维护参数!$B$4,ROUNDUP(I56/10000,0)))*(维护参数!$B$2)</f>
        <v>441</v>
      </c>
      <c r="L56" s="17">
        <f>ROUNDUP(C56*维护参数!$B$16/维护参数!$B$15/1000,0)*1000</f>
        <v>16000</v>
      </c>
      <c r="M56" s="17">
        <f>ROUNDUP(C56*维护参数!$B$17/维护参数!$B$15/10,0)*10</f>
        <v>160</v>
      </c>
      <c r="N56" s="17">
        <f>ROUNDUP(C56*维护参数!$B$18/维护参数!$B$15/10,0)*10</f>
        <v>160</v>
      </c>
      <c r="O56" s="17">
        <f>ROUNDUP(C56*维护参数!$B$19/维护参数!$B$15/10,0)*10</f>
        <v>240</v>
      </c>
      <c r="P56" s="16">
        <f>L56/1000*维护参数!$B$6+M56*维护参数!$B$7+N56*维护参数!$B$8+O56*维护参数!$B$9</f>
        <v>1152</v>
      </c>
      <c r="Q56" s="16">
        <f>SUM(K56,P56)</f>
        <v>1593</v>
      </c>
      <c r="R56" s="18">
        <f t="shared" si="13"/>
        <v>0.340384615384615</v>
      </c>
      <c r="S56" s="16">
        <f t="shared" si="14"/>
        <v>3087</v>
      </c>
      <c r="T56" s="18">
        <f>S56/(C56)</f>
        <v>0.395769230769231</v>
      </c>
      <c r="U56" s="16">
        <f>S56*维护参数!$B$20</f>
        <v>2006.55</v>
      </c>
      <c r="V56" s="18">
        <f>U56/(C56)</f>
        <v>0.25725</v>
      </c>
      <c r="W56" s="3" t="s">
        <v>115</v>
      </c>
      <c r="X56" s="3" t="s">
        <v>116</v>
      </c>
    </row>
    <row r="57" ht="15.2" spans="1:24">
      <c r="A57" s="3"/>
      <c r="B57" s="3"/>
      <c r="C57" s="20"/>
      <c r="D57" s="20"/>
      <c r="E57" s="20"/>
      <c r="F57" s="20"/>
      <c r="G57" s="3" t="s">
        <v>62</v>
      </c>
      <c r="H57" s="9">
        <f>(C56)*(维护参数!$B$10)</f>
        <v>5460</v>
      </c>
      <c r="I57" s="21"/>
      <c r="J57" s="3" t="s">
        <v>63</v>
      </c>
      <c r="K57" s="16">
        <f>(MAX(维护参数!$B$5,ROUNDUP(I56/10000,0)))*(维护参数!$B$3)</f>
        <v>1155</v>
      </c>
      <c r="L57" s="21"/>
      <c r="M57" s="21"/>
      <c r="N57" s="21"/>
      <c r="O57" s="21"/>
      <c r="P57" s="22"/>
      <c r="Q57" s="16">
        <f>SUM(K57,P56)</f>
        <v>2307</v>
      </c>
      <c r="R57" s="18">
        <f t="shared" si="13"/>
        <v>0.422527472527473</v>
      </c>
      <c r="S57" s="16">
        <f t="shared" si="14"/>
        <v>3153</v>
      </c>
      <c r="T57" s="18">
        <f>S57/(C56)</f>
        <v>0.404230769230769</v>
      </c>
      <c r="U57" s="16">
        <f>S57*维护参数!$B$20</f>
        <v>2049.45</v>
      </c>
      <c r="V57" s="18">
        <f>U57/(C56)</f>
        <v>0.26275</v>
      </c>
      <c r="W57" s="3"/>
      <c r="X57" s="3"/>
    </row>
    <row r="58" ht="15.2" spans="1:24">
      <c r="A58" s="3" t="s">
        <v>117</v>
      </c>
      <c r="B58" s="3" t="s">
        <v>95</v>
      </c>
      <c r="C58" s="9">
        <v>7400</v>
      </c>
      <c r="D58" s="9">
        <f>C58*0.6</f>
        <v>4440</v>
      </c>
      <c r="E58" s="14" t="s">
        <v>57</v>
      </c>
      <c r="F58" s="14" t="s">
        <v>57</v>
      </c>
      <c r="G58" s="3" t="s">
        <v>58</v>
      </c>
      <c r="H58" s="9">
        <f>(D58)*(1)</f>
        <v>4440</v>
      </c>
      <c r="I58" s="15">
        <f>ROUNDUP(C58*维护参数!$B$11/维护参数!$B$12*1000,0)</f>
        <v>197334</v>
      </c>
      <c r="J58" s="3" t="s">
        <v>59</v>
      </c>
      <c r="K58" s="16">
        <f>(MAX(维护参数!$B$4,ROUNDUP(I58/10000,0)))*(维护参数!$B$2)</f>
        <v>420</v>
      </c>
      <c r="L58" s="17">
        <f>ROUNDUP(C58*维护参数!$B$16/维护参数!$B$15/1000,0)*1000</f>
        <v>15000</v>
      </c>
      <c r="M58" s="17">
        <f>ROUNDUP(C58*维护参数!$B$17/维护参数!$B$15/10,0)*10</f>
        <v>150</v>
      </c>
      <c r="N58" s="17">
        <f>ROUNDUP(C58*维护参数!$B$18/维护参数!$B$15/10,0)*10</f>
        <v>150</v>
      </c>
      <c r="O58" s="17">
        <f>ROUNDUP(C58*维护参数!$B$19/维护参数!$B$15/10,0)*10</f>
        <v>230</v>
      </c>
      <c r="P58" s="16">
        <f>L58/1000*维护参数!$B$6+M58*维护参数!$B$7+N58*维护参数!$B$8+O58*维护参数!$B$9</f>
        <v>1081</v>
      </c>
      <c r="Q58" s="16">
        <f>SUM(K58,P58)</f>
        <v>1501</v>
      </c>
      <c r="R58" s="18">
        <f t="shared" si="13"/>
        <v>0.338063063063063</v>
      </c>
      <c r="S58" s="16">
        <f t="shared" si="14"/>
        <v>2939</v>
      </c>
      <c r="T58" s="18">
        <f>S58/(C58)</f>
        <v>0.397162162162162</v>
      </c>
      <c r="U58" s="16">
        <f>S58*维护参数!$B$20</f>
        <v>1910.35</v>
      </c>
      <c r="V58" s="18">
        <f>U58/(C58)</f>
        <v>0.258155405405405</v>
      </c>
      <c r="W58" s="3" t="s">
        <v>115</v>
      </c>
      <c r="X58" s="3" t="s">
        <v>118</v>
      </c>
    </row>
    <row r="59" ht="15.2" spans="1:24">
      <c r="A59" s="3"/>
      <c r="B59" s="3"/>
      <c r="C59" s="20"/>
      <c r="D59" s="20"/>
      <c r="E59" s="20"/>
      <c r="F59" s="20"/>
      <c r="G59" s="3" t="s">
        <v>62</v>
      </c>
      <c r="H59" s="9">
        <f>(C58)*(维护参数!$B$10)</f>
        <v>5180</v>
      </c>
      <c r="I59" s="21"/>
      <c r="J59" s="3" t="s">
        <v>63</v>
      </c>
      <c r="K59" s="16">
        <f>(MAX(维护参数!$B$5,ROUNDUP(I58/10000,0)))*(维护参数!$B$3)</f>
        <v>1100</v>
      </c>
      <c r="L59" s="21"/>
      <c r="M59" s="21"/>
      <c r="N59" s="21"/>
      <c r="O59" s="21"/>
      <c r="P59" s="22"/>
      <c r="Q59" s="16">
        <f>SUM(K59,P58)</f>
        <v>2181</v>
      </c>
      <c r="R59" s="18">
        <f t="shared" si="13"/>
        <v>0.421042471042471</v>
      </c>
      <c r="S59" s="16">
        <f t="shared" si="14"/>
        <v>2999</v>
      </c>
      <c r="T59" s="18">
        <f>S59/(C58)</f>
        <v>0.40527027027027</v>
      </c>
      <c r="U59" s="16">
        <f>S59*维护参数!$B$20</f>
        <v>1949.35</v>
      </c>
      <c r="V59" s="18">
        <f>U59/(C58)</f>
        <v>0.263425675675676</v>
      </c>
      <c r="W59" s="3"/>
      <c r="X59" s="3"/>
    </row>
    <row r="60" ht="15.2" spans="1:24">
      <c r="A60" s="3" t="s">
        <v>119</v>
      </c>
      <c r="B60" s="3" t="s">
        <v>71</v>
      </c>
      <c r="C60" s="9">
        <v>5000</v>
      </c>
      <c r="D60" s="9">
        <f>C60*0.6</f>
        <v>3000</v>
      </c>
      <c r="E60" s="14" t="s">
        <v>57</v>
      </c>
      <c r="F60" s="14" t="s">
        <v>57</v>
      </c>
      <c r="G60" s="3" t="s">
        <v>58</v>
      </c>
      <c r="H60" s="9">
        <f>(D60)*(1)</f>
        <v>3000</v>
      </c>
      <c r="I60" s="15">
        <f>ROUNDUP(C60*维护参数!$B$11/维护参数!$B$12*1000,0)</f>
        <v>133334</v>
      </c>
      <c r="J60" s="3" t="s">
        <v>59</v>
      </c>
      <c r="K60" s="16">
        <f>(MAX(维护参数!$B$4,ROUNDUP(I60/10000,0)))*(维护参数!$B$2)</f>
        <v>294</v>
      </c>
      <c r="L60" s="17">
        <f>ROUNDUP(C60*维护参数!$B$16/维护参数!$B$15/1000,0)*1000</f>
        <v>10000</v>
      </c>
      <c r="M60" s="17">
        <f>ROUNDUP(C60*维护参数!$B$17/维护参数!$B$15/10,0)*10</f>
        <v>100</v>
      </c>
      <c r="N60" s="17">
        <f>ROUNDUP(C60*维护参数!$B$18/维护参数!$B$15/10,0)*10</f>
        <v>100</v>
      </c>
      <c r="O60" s="17">
        <f>ROUNDUP(C60*维护参数!$B$19/维护参数!$B$15/10,0)*10</f>
        <v>150</v>
      </c>
      <c r="P60" s="16">
        <f>L60/1000*维护参数!$B$6+M60*维护参数!$B$7+N60*维护参数!$B$8+O60*维护参数!$B$9</f>
        <v>720</v>
      </c>
      <c r="Q60" s="16">
        <f>SUM(K60,P60)</f>
        <v>1014</v>
      </c>
      <c r="R60" s="18">
        <f t="shared" si="13"/>
        <v>0.338</v>
      </c>
      <c r="S60" s="16">
        <f t="shared" si="14"/>
        <v>1986</v>
      </c>
      <c r="T60" s="18">
        <f>S60/(C60)</f>
        <v>0.3972</v>
      </c>
      <c r="U60" s="16">
        <f>S60*维护参数!$B$20</f>
        <v>1290.9</v>
      </c>
      <c r="V60" s="18">
        <f>U60/(C60)</f>
        <v>0.25818</v>
      </c>
      <c r="W60" s="3" t="s">
        <v>115</v>
      </c>
      <c r="X60" s="3" t="s">
        <v>120</v>
      </c>
    </row>
    <row r="61" ht="15.2" spans="1:24">
      <c r="A61" s="3"/>
      <c r="B61" s="3"/>
      <c r="C61" s="20"/>
      <c r="D61" s="20"/>
      <c r="E61" s="20"/>
      <c r="F61" s="20"/>
      <c r="G61" s="3" t="s">
        <v>62</v>
      </c>
      <c r="H61" s="9">
        <f>(C60)*(维护参数!$B$10)</f>
        <v>3500</v>
      </c>
      <c r="I61" s="21"/>
      <c r="J61" s="3" t="s">
        <v>63</v>
      </c>
      <c r="K61" s="16">
        <f>(MAX(维护参数!$B$5,ROUNDUP(I60/10000,0)))*(维护参数!$B$3)</f>
        <v>770</v>
      </c>
      <c r="L61" s="21"/>
      <c r="M61" s="21"/>
      <c r="N61" s="21"/>
      <c r="O61" s="21"/>
      <c r="P61" s="22"/>
      <c r="Q61" s="16">
        <f>SUM(K61,P60)</f>
        <v>1490</v>
      </c>
      <c r="R61" s="18">
        <f t="shared" si="13"/>
        <v>0.425714285714286</v>
      </c>
      <c r="S61" s="16">
        <f t="shared" si="14"/>
        <v>2010</v>
      </c>
      <c r="T61" s="18">
        <f>S61/(C60)</f>
        <v>0.402</v>
      </c>
      <c r="U61" s="16">
        <f>S61*维护参数!$B$20</f>
        <v>1306.5</v>
      </c>
      <c r="V61" s="18">
        <f>U61/(C60)</f>
        <v>0.2613</v>
      </c>
      <c r="W61" s="3"/>
      <c r="X61" s="3"/>
    </row>
    <row r="62" ht="15.2"/>
    <row r="63" ht="15.2"/>
    <row r="64" ht="15.2"/>
    <row r="65" ht="15.2"/>
    <row r="66" ht="15.2"/>
    <row r="67" ht="15.2"/>
    <row r="68" ht="15.2"/>
    <row r="69" ht="15.2"/>
    <row r="73" ht="36" customHeight="1" spans="1:1">
      <c r="A73" s="6" t="s">
        <v>121</v>
      </c>
    </row>
    <row r="74" customHeight="1" spans="1:1">
      <c r="A74" s="7" t="s">
        <v>122</v>
      </c>
    </row>
    <row r="81" ht="66" customHeight="1" spans="1:25">
      <c r="A81" s="8" t="s">
        <v>2</v>
      </c>
      <c r="B81" s="8" t="s">
        <v>32</v>
      </c>
      <c r="C81" s="8" t="s">
        <v>53</v>
      </c>
      <c r="D81" s="9" t="s">
        <v>33</v>
      </c>
      <c r="E81" s="9" t="s">
        <v>34</v>
      </c>
      <c r="F81" s="10" t="s">
        <v>35</v>
      </c>
      <c r="G81" s="10" t="s">
        <v>36</v>
      </c>
      <c r="H81" s="8" t="s">
        <v>37</v>
      </c>
      <c r="I81" s="11" t="s">
        <v>38</v>
      </c>
      <c r="J81" s="12" t="s">
        <v>39</v>
      </c>
      <c r="K81" s="8" t="s">
        <v>40</v>
      </c>
      <c r="L81" s="13" t="s">
        <v>41</v>
      </c>
      <c r="M81" s="13" t="s">
        <v>42</v>
      </c>
      <c r="N81" s="8" t="s">
        <v>43</v>
      </c>
      <c r="O81" s="8" t="s">
        <v>44</v>
      </c>
      <c r="P81" s="8" t="s">
        <v>45</v>
      </c>
      <c r="Q81" s="8" t="s">
        <v>46</v>
      </c>
      <c r="R81" s="8" t="s">
        <v>47</v>
      </c>
      <c r="S81" s="8" t="s">
        <v>48</v>
      </c>
      <c r="T81" s="13" t="s">
        <v>49</v>
      </c>
      <c r="U81" s="13" t="s">
        <v>50</v>
      </c>
      <c r="V81" s="13" t="s">
        <v>51</v>
      </c>
      <c r="W81" s="13" t="s">
        <v>52</v>
      </c>
      <c r="X81" s="8" t="s">
        <v>53</v>
      </c>
      <c r="Y81" s="8" t="s">
        <v>54</v>
      </c>
    </row>
    <row r="82" ht="26" customHeight="1" spans="1:25">
      <c r="A82" s="3" t="s">
        <v>23</v>
      </c>
      <c r="B82" s="3" t="s">
        <v>71</v>
      </c>
      <c r="C82" s="3"/>
      <c r="D82" s="9">
        <f>抖音大号维护标准!H4</f>
        <v>16600</v>
      </c>
      <c r="E82" s="9">
        <v>9960</v>
      </c>
      <c r="F82" s="14" t="s">
        <v>57</v>
      </c>
      <c r="G82" s="14" t="s">
        <v>57</v>
      </c>
      <c r="H82" s="3" t="s">
        <v>58</v>
      </c>
      <c r="I82" s="9">
        <f>E82</f>
        <v>9960</v>
      </c>
      <c r="J82" s="15">
        <f>ROUNDUP(抖音大号维护标准!J4,0)</f>
        <v>442667</v>
      </c>
      <c r="K82" s="3" t="s">
        <v>59</v>
      </c>
      <c r="L82" s="16">
        <f>MAX(维护参数!$B$4,ROUNDUP(J82/10000,0))*维护参数!$B$2</f>
        <v>945</v>
      </c>
      <c r="M82" s="17">
        <v>30000</v>
      </c>
      <c r="N82" s="17">
        <f>MAX(200,ROUNDUP(D82*维护参数!$B$17/维护参数!$B$15/10,0)*10)</f>
        <v>340</v>
      </c>
      <c r="O82" s="17">
        <f>MAX(200,ROUNDUP(D82*维护参数!$B$18/维护参数!$B$15/10,0)*10)</f>
        <v>340</v>
      </c>
      <c r="P82" s="17">
        <f>MAX(300,ROUNDUP(D82*维护参数!$B$19/维护参数!$B$15/10,0)*10)</f>
        <v>500</v>
      </c>
      <c r="Q82" s="16">
        <f>M82/1000*维护参数!$B$6+N82*维护参数!$B$7+O82*维护参数!$B$8+P82*维护参数!$B$9</f>
        <v>2206</v>
      </c>
      <c r="R82" s="16">
        <f>L82+Q82</f>
        <v>3151</v>
      </c>
      <c r="S82" s="18">
        <f t="shared" ref="S82:S95" si="15">R82/I82</f>
        <v>0.31636546184739</v>
      </c>
      <c r="T82" s="16">
        <f t="shared" ref="T82:T95" si="16">I82-R82</f>
        <v>6809</v>
      </c>
      <c r="U82" s="18">
        <f>T82/D82</f>
        <v>0.410180722891566</v>
      </c>
      <c r="V82" s="16">
        <f>T82*维护参数!$B$20</f>
        <v>4425.85</v>
      </c>
      <c r="W82" s="18">
        <f>V82/D82</f>
        <v>0.266617469879518</v>
      </c>
      <c r="X82" s="19" t="s">
        <v>123</v>
      </c>
      <c r="Y82" s="2" t="s">
        <v>124</v>
      </c>
    </row>
    <row r="83" ht="26" customHeight="1" spans="1:25">
      <c r="H83" s="3" t="s">
        <v>62</v>
      </c>
      <c r="I83" s="9">
        <f>D82*维护参数!$B$10</f>
        <v>11620</v>
      </c>
      <c r="K83" s="3" t="s">
        <v>63</v>
      </c>
      <c r="L83" s="16">
        <f>MAX(维护参数!$B$5,ROUNDUP(J82/10000,0))*维护参数!$B$3</f>
        <v>2475</v>
      </c>
      <c r="R83" s="16">
        <f>L83+Q82</f>
        <v>4681</v>
      </c>
      <c r="S83" s="18">
        <f t="shared" si="15"/>
        <v>0.402839931153184</v>
      </c>
      <c r="T83" s="16">
        <f t="shared" si="16"/>
        <v>6939</v>
      </c>
      <c r="U83" s="18">
        <f>T83/D82</f>
        <v>0.418012048192771</v>
      </c>
      <c r="V83" s="16">
        <f>T83*维护参数!$B$20</f>
        <v>4510.35</v>
      </c>
      <c r="W83" s="18">
        <f>V83/D82</f>
        <v>0.271707831325301</v>
      </c>
    </row>
    <row r="84" ht="26" customHeight="1" spans="1:25">
      <c r="A84" s="3" t="s">
        <v>24</v>
      </c>
      <c r="B84" s="3" t="s">
        <v>56</v>
      </c>
      <c r="C84" s="3"/>
      <c r="D84" s="9">
        <f>抖音大号维护标准!H5</f>
        <v>18000</v>
      </c>
      <c r="E84" s="9">
        <v>10800</v>
      </c>
      <c r="F84" s="14" t="s">
        <v>57</v>
      </c>
      <c r="G84" s="14" t="s">
        <v>57</v>
      </c>
      <c r="H84" s="3" t="s">
        <v>58</v>
      </c>
      <c r="I84" s="9">
        <f>E84</f>
        <v>10800</v>
      </c>
      <c r="J84" s="15">
        <f>ROUNDUP(抖音大号维护标准!J5,0)</f>
        <v>480000</v>
      </c>
      <c r="K84" s="3" t="s">
        <v>59</v>
      </c>
      <c r="L84" s="16">
        <f>MAX(维护参数!$B$4,ROUNDUP(J84/10000,0))*维护参数!$B$2</f>
        <v>1008</v>
      </c>
      <c r="M84" s="17">
        <v>20000</v>
      </c>
      <c r="N84" s="17">
        <f>MAX(200,ROUNDUP(D84*维护参数!$B$17/维护参数!$B$15/10,0)*10)</f>
        <v>360</v>
      </c>
      <c r="O84" s="17">
        <f>MAX(200,ROUNDUP(D84*维护参数!$B$18/维护参数!$B$15/10,0)*10)</f>
        <v>360</v>
      </c>
      <c r="P84" s="17">
        <f>MAX(300,ROUNDUP(D84*维护参数!$B$19/维护参数!$B$15/10,0)*10)</f>
        <v>540</v>
      </c>
      <c r="Q84" s="16">
        <f>M84/1000*维护参数!$B$6+N84*维护参数!$B$7+O84*维护参数!$B$8+P84*维护参数!$B$9</f>
        <v>1632</v>
      </c>
      <c r="R84" s="16">
        <f>L84+Q84</f>
        <v>2640</v>
      </c>
      <c r="S84" s="18">
        <f t="shared" si="15"/>
        <v>0.244444444444444</v>
      </c>
      <c r="T84" s="16">
        <f t="shared" si="16"/>
        <v>8160</v>
      </c>
      <c r="U84" s="18">
        <f>T84/D84</f>
        <v>0.453333333333333</v>
      </c>
      <c r="V84" s="16">
        <f>T84*维护参数!$B$20</f>
        <v>5304</v>
      </c>
      <c r="W84" s="18">
        <f>V84/D84</f>
        <v>0.294666666666667</v>
      </c>
      <c r="X84" s="19" t="s">
        <v>123</v>
      </c>
      <c r="Y84" s="2" t="s">
        <v>125</v>
      </c>
    </row>
    <row r="85" ht="26" customHeight="1" spans="1:25">
      <c r="H85" s="3" t="s">
        <v>62</v>
      </c>
      <c r="I85" s="9">
        <f>D84*维护参数!$B$10</f>
        <v>12600</v>
      </c>
      <c r="K85" s="3" t="s">
        <v>63</v>
      </c>
      <c r="L85" s="16">
        <f>MAX(维护参数!$B$5,ROUNDUP(J84/10000,0))*维护参数!$B$3</f>
        <v>2640</v>
      </c>
      <c r="R85" s="16">
        <f>L85+Q84</f>
        <v>4272</v>
      </c>
      <c r="S85" s="18">
        <f t="shared" si="15"/>
        <v>0.339047619047619</v>
      </c>
      <c r="T85" s="16">
        <f t="shared" si="16"/>
        <v>8328</v>
      </c>
      <c r="U85" s="18">
        <f>T85/D84</f>
        <v>0.462666666666667</v>
      </c>
      <c r="V85" s="16">
        <f>T85*维护参数!$B$20</f>
        <v>5413.2</v>
      </c>
      <c r="W85" s="18">
        <f>V85/D84</f>
        <v>0.300733333333333</v>
      </c>
    </row>
    <row r="86" ht="26" customHeight="1" spans="1:25">
      <c r="A86" s="3" t="s">
        <v>25</v>
      </c>
      <c r="B86" s="3" t="s">
        <v>126</v>
      </c>
      <c r="C86" s="3"/>
      <c r="D86" s="9">
        <f>抖音大号维护标准!H6</f>
        <v>20000</v>
      </c>
      <c r="E86" s="9">
        <v>12000</v>
      </c>
      <c r="F86" s="14" t="s">
        <v>57</v>
      </c>
      <c r="G86" s="14" t="s">
        <v>57</v>
      </c>
      <c r="H86" s="3" t="s">
        <v>58</v>
      </c>
      <c r="I86" s="9">
        <f>E86</f>
        <v>12000</v>
      </c>
      <c r="J86" s="15">
        <f>ROUNDUP(抖音大号维护标准!J6,0)</f>
        <v>533334</v>
      </c>
      <c r="K86" s="3" t="s">
        <v>59</v>
      </c>
      <c r="L86" s="16">
        <f>MAX(维护参数!$B$4,ROUNDUP(J86/10000,0))*维护参数!$B$2</f>
        <v>1134</v>
      </c>
      <c r="M86" s="17">
        <v>30000</v>
      </c>
      <c r="N86" s="17">
        <f>MAX(200,ROUNDUP(D86*维护参数!$B$17/维护参数!$B$15/10,0)*10)</f>
        <v>400</v>
      </c>
      <c r="O86" s="17">
        <f>MAX(200,ROUNDUP(D86*维护参数!$B$18/维护参数!$B$15/10,0)*10)</f>
        <v>400</v>
      </c>
      <c r="P86" s="17">
        <f>MAX(300,ROUNDUP(D86*维护参数!$B$19/维护参数!$B$15/10,0)*10)</f>
        <v>600</v>
      </c>
      <c r="Q86" s="16">
        <f>M86/1000*维护参数!$B$6+N86*维护参数!$B$7+O86*维护参数!$B$8+P86*维护参数!$B$9</f>
        <v>2280</v>
      </c>
      <c r="R86" s="16">
        <f>L86+Q86</f>
        <v>3414</v>
      </c>
      <c r="S86" s="18">
        <f t="shared" si="15"/>
        <v>0.2845</v>
      </c>
      <c r="T86" s="16">
        <f t="shared" si="16"/>
        <v>8586</v>
      </c>
      <c r="U86" s="18">
        <f>T86/D86</f>
        <v>0.4293</v>
      </c>
      <c r="V86" s="16">
        <f>T86*维护参数!$B$20</f>
        <v>5580.9</v>
      </c>
      <c r="W86" s="18">
        <f>V86/D86</f>
        <v>0.279045</v>
      </c>
      <c r="X86" s="19" t="s">
        <v>123</v>
      </c>
      <c r="Y86" s="2" t="s">
        <v>127</v>
      </c>
    </row>
    <row r="87" ht="26" customHeight="1" spans="1:25">
      <c r="H87" s="3" t="s">
        <v>62</v>
      </c>
      <c r="I87" s="9">
        <f>D86*维护参数!$B$10</f>
        <v>14000</v>
      </c>
      <c r="K87" s="3" t="s">
        <v>63</v>
      </c>
      <c r="L87" s="16">
        <f>MAX(维护参数!$B$5,ROUNDUP(J86/10000,0))*维护参数!$B$3</f>
        <v>2970</v>
      </c>
      <c r="R87" s="16">
        <f>L87+Q86</f>
        <v>5250</v>
      </c>
      <c r="S87" s="18">
        <f t="shared" si="15"/>
        <v>0.375</v>
      </c>
      <c r="T87" s="16">
        <f t="shared" si="16"/>
        <v>8750</v>
      </c>
      <c r="U87" s="18">
        <f>T87/D86</f>
        <v>0.4375</v>
      </c>
      <c r="V87" s="16">
        <f>T87*维护参数!$B$20</f>
        <v>5687.5</v>
      </c>
      <c r="W87" s="18">
        <f>V87/D86</f>
        <v>0.284375</v>
      </c>
    </row>
    <row r="88" ht="26" customHeight="1" spans="1:25">
      <c r="A88" s="3" t="s">
        <v>26</v>
      </c>
      <c r="B88" s="3" t="s">
        <v>128</v>
      </c>
      <c r="C88" s="3"/>
      <c r="D88" s="9">
        <f>抖音大号维护标准!H7</f>
        <v>12000</v>
      </c>
      <c r="E88" s="9">
        <v>7200</v>
      </c>
      <c r="F88" s="14" t="s">
        <v>57</v>
      </c>
      <c r="G88" s="14" t="s">
        <v>57</v>
      </c>
      <c r="H88" s="3" t="s">
        <v>58</v>
      </c>
      <c r="I88" s="9">
        <f>E88</f>
        <v>7200</v>
      </c>
      <c r="J88" s="15">
        <f>ROUNDUP(抖音大号维护标准!J7,0)</f>
        <v>320000</v>
      </c>
      <c r="K88" s="3" t="s">
        <v>59</v>
      </c>
      <c r="L88" s="16">
        <f>MAX(维护参数!$B$4,ROUNDUP(J88/10000,0))*维护参数!$B$2</f>
        <v>672</v>
      </c>
      <c r="M88" s="17">
        <v>15000</v>
      </c>
      <c r="N88" s="17">
        <f>MAX(200,ROUNDUP(D88*维护参数!$B$17/维护参数!$B$15/10,0)*10)</f>
        <v>240</v>
      </c>
      <c r="O88" s="17">
        <f>MAX(200,ROUNDUP(D88*维护参数!$B$18/维护参数!$B$15/10,0)*10)</f>
        <v>240</v>
      </c>
      <c r="P88" s="17">
        <f>MAX(300,ROUNDUP(D88*维护参数!$B$19/维护参数!$B$15/10,0)*10)</f>
        <v>360</v>
      </c>
      <c r="Q88" s="16">
        <f>M88/1000*维护参数!$B$6+N88*维护参数!$B$7+O88*维护参数!$B$8+P88*维护参数!$B$9</f>
        <v>1188</v>
      </c>
      <c r="R88" s="16">
        <f>L88+Q88</f>
        <v>1860</v>
      </c>
      <c r="S88" s="18">
        <f t="shared" si="15"/>
        <v>0.258333333333333</v>
      </c>
      <c r="T88" s="16">
        <f t="shared" si="16"/>
        <v>5340</v>
      </c>
      <c r="U88" s="18">
        <f>T88/D88</f>
        <v>0.445</v>
      </c>
      <c r="V88" s="16">
        <f>T88*维护参数!$B$20</f>
        <v>3471</v>
      </c>
      <c r="W88" s="18">
        <f>V88/D88</f>
        <v>0.28925</v>
      </c>
      <c r="X88" s="19" t="s">
        <v>123</v>
      </c>
      <c r="Y88" s="2" t="s">
        <v>129</v>
      </c>
    </row>
    <row r="89" ht="26" customHeight="1" spans="1:25">
      <c r="H89" s="3" t="s">
        <v>62</v>
      </c>
      <c r="I89" s="9">
        <f>D88*维护参数!$B$10</f>
        <v>8400</v>
      </c>
      <c r="K89" s="3" t="s">
        <v>63</v>
      </c>
      <c r="L89" s="16">
        <f>MAX(维护参数!$B$5,ROUNDUP(J88/10000,0))*维护参数!$B$3</f>
        <v>1760</v>
      </c>
      <c r="R89" s="16">
        <f>L89+Q88</f>
        <v>2948</v>
      </c>
      <c r="S89" s="18">
        <f t="shared" si="15"/>
        <v>0.350952380952381</v>
      </c>
      <c r="T89" s="16">
        <f t="shared" si="16"/>
        <v>5452</v>
      </c>
      <c r="U89" s="18">
        <f>T89/D88</f>
        <v>0.454333333333333</v>
      </c>
      <c r="V89" s="16">
        <f>T89*维护参数!$B$20</f>
        <v>3543.8</v>
      </c>
      <c r="W89" s="18">
        <f>V89/D88</f>
        <v>0.295316666666667</v>
      </c>
    </row>
    <row r="90" ht="26" customHeight="1" spans="1:25">
      <c r="A90" s="3" t="s">
        <v>27</v>
      </c>
      <c r="B90" s="3" t="s">
        <v>65</v>
      </c>
      <c r="C90" s="3"/>
      <c r="D90" s="9">
        <f>抖音大号维护标准!H8</f>
        <v>20000</v>
      </c>
      <c r="E90" s="9">
        <v>12000</v>
      </c>
      <c r="F90" s="14" t="s">
        <v>57</v>
      </c>
      <c r="G90" s="14" t="s">
        <v>57</v>
      </c>
      <c r="H90" s="3" t="s">
        <v>58</v>
      </c>
      <c r="I90" s="9">
        <f>E90</f>
        <v>12000</v>
      </c>
      <c r="J90" s="15">
        <f>ROUNDUP(抖音大号维护标准!J8,0)</f>
        <v>533334</v>
      </c>
      <c r="K90" s="3" t="s">
        <v>59</v>
      </c>
      <c r="L90" s="16">
        <f>MAX(维护参数!$B$4,ROUNDUP(J90/10000,0))*维护参数!$B$2</f>
        <v>1134</v>
      </c>
      <c r="M90" s="17">
        <v>30000</v>
      </c>
      <c r="N90" s="17">
        <f>MAX(200,ROUNDUP(D90*维护参数!$B$17/维护参数!$B$15/10,0)*10)</f>
        <v>400</v>
      </c>
      <c r="O90" s="17">
        <f>MAX(200,ROUNDUP(D90*维护参数!$B$18/维护参数!$B$15/10,0)*10)</f>
        <v>400</v>
      </c>
      <c r="P90" s="17">
        <f>MAX(300,ROUNDUP(D90*维护参数!$B$19/维护参数!$B$15/10,0)*10)</f>
        <v>600</v>
      </c>
      <c r="Q90" s="16">
        <f>M90/1000*维护参数!$B$6+N90*维护参数!$B$7+O90*维护参数!$B$8+P90*维护参数!$B$9</f>
        <v>2280</v>
      </c>
      <c r="R90" s="16">
        <f>L90+Q90</f>
        <v>3414</v>
      </c>
      <c r="S90" s="18">
        <f t="shared" si="15"/>
        <v>0.2845</v>
      </c>
      <c r="T90" s="16">
        <f t="shared" si="16"/>
        <v>8586</v>
      </c>
      <c r="U90" s="18">
        <f>T90/D90</f>
        <v>0.4293</v>
      </c>
      <c r="V90" s="16">
        <f>T90*维护参数!$B$20</f>
        <v>5580.9</v>
      </c>
      <c r="W90" s="18">
        <f>V90/D90</f>
        <v>0.279045</v>
      </c>
      <c r="X90" s="19" t="s">
        <v>123</v>
      </c>
      <c r="Y90" s="2" t="s">
        <v>130</v>
      </c>
    </row>
    <row r="91" ht="26" customHeight="1" spans="1:25">
      <c r="H91" s="3" t="s">
        <v>62</v>
      </c>
      <c r="I91" s="9">
        <f>D90*维护参数!$B$10</f>
        <v>14000</v>
      </c>
      <c r="K91" s="3" t="s">
        <v>63</v>
      </c>
      <c r="L91" s="16">
        <f>MAX(维护参数!$B$5,ROUNDUP(J90/10000,0))*维护参数!$B$3</f>
        <v>2970</v>
      </c>
      <c r="R91" s="16">
        <f>L91+Q90</f>
        <v>5250</v>
      </c>
      <c r="S91" s="18">
        <f t="shared" si="15"/>
        <v>0.375</v>
      </c>
      <c r="T91" s="16">
        <f t="shared" si="16"/>
        <v>8750</v>
      </c>
      <c r="U91" s="18">
        <f>T91/D90</f>
        <v>0.4375</v>
      </c>
      <c r="V91" s="16">
        <f>T91*维护参数!$B$20</f>
        <v>5687.5</v>
      </c>
      <c r="W91" s="18">
        <f>V91/D90</f>
        <v>0.284375</v>
      </c>
    </row>
    <row r="92" ht="26" customHeight="1" spans="1:25">
      <c r="A92" s="3" t="s">
        <v>28</v>
      </c>
      <c r="B92" s="3" t="s">
        <v>74</v>
      </c>
      <c r="C92" s="3"/>
      <c r="D92" s="9">
        <f>抖音大号维护标准!H9</f>
        <v>15000</v>
      </c>
      <c r="E92" s="9">
        <v>9000</v>
      </c>
      <c r="F92" s="14" t="s">
        <v>57</v>
      </c>
      <c r="G92" s="14" t="s">
        <v>57</v>
      </c>
      <c r="H92" s="3" t="s">
        <v>58</v>
      </c>
      <c r="I92" s="9">
        <f>E92</f>
        <v>9000</v>
      </c>
      <c r="J92" s="15">
        <f>ROUNDUP(抖音大号维护标准!J9,0)</f>
        <v>400000</v>
      </c>
      <c r="K92" s="3" t="s">
        <v>59</v>
      </c>
      <c r="L92" s="16">
        <f>MAX(维护参数!$B$4,ROUNDUP(J92/10000,0))*维护参数!$B$2</f>
        <v>840</v>
      </c>
      <c r="M92" s="17">
        <v>20000</v>
      </c>
      <c r="N92" s="17">
        <f>MAX(200,ROUNDUP(D92*维护参数!$B$17/维护参数!$B$15/10,0)*10)</f>
        <v>300</v>
      </c>
      <c r="O92" s="17">
        <f>MAX(200,ROUNDUP(D92*维护参数!$B$18/维护参数!$B$15/10,0)*10)</f>
        <v>300</v>
      </c>
      <c r="P92" s="17">
        <f>MAX(300,ROUNDUP(D92*维护参数!$B$19/维护参数!$B$15/10,0)*10)</f>
        <v>450</v>
      </c>
      <c r="Q92" s="16">
        <f>M92/1000*维护参数!$B$6+N92*维护参数!$B$7+O92*维护参数!$B$8+P92*维护参数!$B$9</f>
        <v>1560</v>
      </c>
      <c r="R92" s="16">
        <f>L92+Q92</f>
        <v>2400</v>
      </c>
      <c r="S92" s="18">
        <f t="shared" si="15"/>
        <v>0.266666666666667</v>
      </c>
      <c r="T92" s="16">
        <f t="shared" si="16"/>
        <v>6600</v>
      </c>
      <c r="U92" s="18">
        <f>T92/D92</f>
        <v>0.44</v>
      </c>
      <c r="V92" s="16">
        <f>T92*维护参数!$B$20</f>
        <v>4290</v>
      </c>
      <c r="W92" s="18">
        <f>V92/D92</f>
        <v>0.286</v>
      </c>
      <c r="X92" s="19" t="s">
        <v>123</v>
      </c>
      <c r="Y92" s="2" t="s">
        <v>131</v>
      </c>
    </row>
    <row r="93" ht="26" customHeight="1" spans="1:25">
      <c r="H93" s="3" t="s">
        <v>62</v>
      </c>
      <c r="I93" s="9">
        <f>D92*维护参数!$B$10</f>
        <v>10500</v>
      </c>
      <c r="K93" s="3" t="s">
        <v>63</v>
      </c>
      <c r="L93" s="16">
        <f>MAX(维护参数!$B$5,ROUNDUP(J92/10000,0))*维护参数!$B$3</f>
        <v>2200</v>
      </c>
      <c r="R93" s="16">
        <f>L93+Q92</f>
        <v>3760</v>
      </c>
      <c r="S93" s="18">
        <f t="shared" si="15"/>
        <v>0.358095238095238</v>
      </c>
      <c r="T93" s="16">
        <f t="shared" si="16"/>
        <v>6740</v>
      </c>
      <c r="U93" s="18">
        <f>T93/D92</f>
        <v>0.449333333333333</v>
      </c>
      <c r="V93" s="16">
        <f>T93*维护参数!$B$20</f>
        <v>4381</v>
      </c>
      <c r="W93" s="18">
        <f>V93/D92</f>
        <v>0.292066666666667</v>
      </c>
    </row>
    <row r="94" ht="26" customHeight="1" spans="1:25">
      <c r="A94" s="3" t="s">
        <v>29</v>
      </c>
      <c r="B94" s="3" t="s">
        <v>84</v>
      </c>
      <c r="C94" s="3"/>
      <c r="D94" s="9">
        <f>抖音大号维护标准!H10</f>
        <v>10000</v>
      </c>
      <c r="E94" s="9">
        <v>6000</v>
      </c>
      <c r="F94" s="14" t="s">
        <v>57</v>
      </c>
      <c r="G94" s="14" t="s">
        <v>57</v>
      </c>
      <c r="H94" s="3" t="s">
        <v>58</v>
      </c>
      <c r="I94" s="9">
        <f>E94</f>
        <v>6000</v>
      </c>
      <c r="J94" s="15">
        <f>ROUNDUP(抖音大号维护标准!J10,0)</f>
        <v>266667</v>
      </c>
      <c r="K94" s="3" t="s">
        <v>59</v>
      </c>
      <c r="L94" s="16">
        <f>MAX(维护参数!$B$4,ROUNDUP(J94/10000,0))*维护参数!$B$2</f>
        <v>567</v>
      </c>
      <c r="M94" s="17">
        <v>15000</v>
      </c>
      <c r="N94" s="17">
        <f>MAX(200,ROUNDUP(D94*维护参数!$B$17/维护参数!$B$15/10,0)*10)</f>
        <v>200</v>
      </c>
      <c r="O94" s="17">
        <f>MAX(200,ROUNDUP(D94*维护参数!$B$18/维护参数!$B$15/10,0)*10)</f>
        <v>200</v>
      </c>
      <c r="P94" s="17">
        <f>MAX(300,ROUNDUP(D94*维护参数!$B$19/维护参数!$B$15/10,0)*10)</f>
        <v>300</v>
      </c>
      <c r="Q94" s="16">
        <f>M94/1000*维护参数!$B$6+N94*维护参数!$B$7+O94*维护参数!$B$8+P94*维护参数!$B$9</f>
        <v>1140</v>
      </c>
      <c r="R94" s="16">
        <f>L94+Q94</f>
        <v>1707</v>
      </c>
      <c r="S94" s="18">
        <f t="shared" si="15"/>
        <v>0.2845</v>
      </c>
      <c r="T94" s="16">
        <f t="shared" si="16"/>
        <v>4293</v>
      </c>
      <c r="U94" s="18">
        <f>T94/D94</f>
        <v>0.4293</v>
      </c>
      <c r="V94" s="16">
        <f>T94*维护参数!$B$20</f>
        <v>2790.45</v>
      </c>
      <c r="W94" s="18">
        <f>V94/D94</f>
        <v>0.279045</v>
      </c>
      <c r="X94" s="19" t="s">
        <v>123</v>
      </c>
      <c r="Y94" s="2" t="s">
        <v>132</v>
      </c>
    </row>
    <row r="95" ht="26" customHeight="1" spans="1:25">
      <c r="H95" s="3" t="s">
        <v>62</v>
      </c>
      <c r="I95" s="9">
        <f>D94*维护参数!$B$10</f>
        <v>7000</v>
      </c>
      <c r="K95" s="3" t="s">
        <v>63</v>
      </c>
      <c r="L95" s="16">
        <f>MAX(维护参数!$B$5,ROUNDUP(J94/10000,0))*维护参数!$B$3</f>
        <v>1485</v>
      </c>
      <c r="R95" s="16">
        <f>L95+Q94</f>
        <v>2625</v>
      </c>
      <c r="S95" s="18">
        <f t="shared" si="15"/>
        <v>0.375</v>
      </c>
      <c r="T95" s="16">
        <f t="shared" si="16"/>
        <v>4375</v>
      </c>
      <c r="U95" s="18">
        <f>T95/D94</f>
        <v>0.4375</v>
      </c>
      <c r="V95" s="16">
        <f>T95*维护参数!$B$20</f>
        <v>2843.75</v>
      </c>
      <c r="W95" s="18">
        <f>V95/D94</f>
        <v>0.284375</v>
      </c>
    </row>
  </sheetData>
  <mergeCells count="420">
    <mergeCell ref="A1:Y1"/>
    <mergeCell ref="A2:U2"/>
    <mergeCell ref="A15:Y15"/>
    <mergeCell ref="Z15:AW15"/>
    <mergeCell ref="A16:AW16"/>
    <mergeCell ref="A73:Y73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82:A83"/>
    <mergeCell ref="A84:A85"/>
    <mergeCell ref="A86:A87"/>
    <mergeCell ref="A88:A89"/>
    <mergeCell ref="A90:A91"/>
    <mergeCell ref="A92:A93"/>
    <mergeCell ref="A94:A95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82:B83"/>
    <mergeCell ref="B84:B85"/>
    <mergeCell ref="B86:B87"/>
    <mergeCell ref="B88:B89"/>
    <mergeCell ref="B90:B91"/>
    <mergeCell ref="B92:B93"/>
    <mergeCell ref="B94:B95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82:C83"/>
    <mergeCell ref="C84:C85"/>
    <mergeCell ref="C86:C87"/>
    <mergeCell ref="C88:C89"/>
    <mergeCell ref="C90:C91"/>
    <mergeCell ref="C92:C93"/>
    <mergeCell ref="C94:C95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82:D83"/>
    <mergeCell ref="D84:D85"/>
    <mergeCell ref="D86:D87"/>
    <mergeCell ref="D88:D89"/>
    <mergeCell ref="D90:D91"/>
    <mergeCell ref="D92:D93"/>
    <mergeCell ref="D94:D95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82:E83"/>
    <mergeCell ref="E84:E85"/>
    <mergeCell ref="E86:E87"/>
    <mergeCell ref="E88:E89"/>
    <mergeCell ref="E90:E91"/>
    <mergeCell ref="E92:E93"/>
    <mergeCell ref="E94:E95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82:F83"/>
    <mergeCell ref="F84:F85"/>
    <mergeCell ref="F86:F87"/>
    <mergeCell ref="F88:F89"/>
    <mergeCell ref="F90:F91"/>
    <mergeCell ref="F92:F93"/>
    <mergeCell ref="F94:F95"/>
    <mergeCell ref="G82:G83"/>
    <mergeCell ref="G84:G85"/>
    <mergeCell ref="G86:G87"/>
    <mergeCell ref="G88:G89"/>
    <mergeCell ref="G90:G91"/>
    <mergeCell ref="G92:G93"/>
    <mergeCell ref="G94:G95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58:I59"/>
    <mergeCell ref="I60:I61"/>
    <mergeCell ref="J82:J83"/>
    <mergeCell ref="J84:J85"/>
    <mergeCell ref="J86:J87"/>
    <mergeCell ref="J88:J89"/>
    <mergeCell ref="J90:J91"/>
    <mergeCell ref="J92:J93"/>
    <mergeCell ref="J94:J95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82:M83"/>
    <mergeCell ref="M84:M85"/>
    <mergeCell ref="M86:M87"/>
    <mergeCell ref="M88:M89"/>
    <mergeCell ref="M90:M91"/>
    <mergeCell ref="M92:M93"/>
    <mergeCell ref="M94:M95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82:N83"/>
    <mergeCell ref="N84:N85"/>
    <mergeCell ref="N86:N87"/>
    <mergeCell ref="N88:N89"/>
    <mergeCell ref="N90:N91"/>
    <mergeCell ref="N92:N93"/>
    <mergeCell ref="N94:N95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O82:O83"/>
    <mergeCell ref="O84:O85"/>
    <mergeCell ref="O86:O87"/>
    <mergeCell ref="O88:O89"/>
    <mergeCell ref="O90:O91"/>
    <mergeCell ref="O92:O93"/>
    <mergeCell ref="O94:O95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P58:P59"/>
    <mergeCell ref="P60:P61"/>
    <mergeCell ref="P82:P83"/>
    <mergeCell ref="P84:P85"/>
    <mergeCell ref="P86:P87"/>
    <mergeCell ref="P88:P89"/>
    <mergeCell ref="P90:P91"/>
    <mergeCell ref="P92:P93"/>
    <mergeCell ref="P94:P95"/>
    <mergeCell ref="Q82:Q83"/>
    <mergeCell ref="Q84:Q85"/>
    <mergeCell ref="Q86:Q87"/>
    <mergeCell ref="Q88:Q89"/>
    <mergeCell ref="Q90:Q91"/>
    <mergeCell ref="Q92:Q93"/>
    <mergeCell ref="Q94:Q95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W38:W39"/>
    <mergeCell ref="W40:W41"/>
    <mergeCell ref="W42:W43"/>
    <mergeCell ref="W44:W45"/>
    <mergeCell ref="W46:W47"/>
    <mergeCell ref="W48:W49"/>
    <mergeCell ref="W50:W51"/>
    <mergeCell ref="W52:W53"/>
    <mergeCell ref="W54:W55"/>
    <mergeCell ref="W56:W57"/>
    <mergeCell ref="W58:W59"/>
    <mergeCell ref="W60:W61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X38:X39"/>
    <mergeCell ref="X40:X41"/>
    <mergeCell ref="X42:X43"/>
    <mergeCell ref="X44:X45"/>
    <mergeCell ref="X46:X47"/>
    <mergeCell ref="X48:X49"/>
    <mergeCell ref="X50:X51"/>
    <mergeCell ref="X52:X53"/>
    <mergeCell ref="X54:X55"/>
    <mergeCell ref="X56:X57"/>
    <mergeCell ref="X58:X59"/>
    <mergeCell ref="X60:X61"/>
    <mergeCell ref="X82:X83"/>
    <mergeCell ref="X84:X85"/>
    <mergeCell ref="X86:X87"/>
    <mergeCell ref="X88:X89"/>
    <mergeCell ref="X90:X91"/>
    <mergeCell ref="X92:X93"/>
    <mergeCell ref="X94:X95"/>
    <mergeCell ref="Y82:Y83"/>
    <mergeCell ref="Y84:Y85"/>
    <mergeCell ref="Y86:Y87"/>
    <mergeCell ref="Y88:Y89"/>
    <mergeCell ref="Y90:Y91"/>
    <mergeCell ref="Y92:Y93"/>
    <mergeCell ref="Y94:Y95"/>
    <mergeCell ref="A74:Y79"/>
  </mergeCells>
  <hyperlinks>
    <hyperlink ref="X18" r:id="rId1" display="https://v.douyin.com/dcP3cOC30h4/"/>
    <hyperlink ref="X20" r:id="rId2" display="https://v.douyin.com/SAEJqgoPkrY/"/>
    <hyperlink ref="X22" r:id="rId3" display="https://v.douyin.com/DcH2brXPgvc/"/>
    <hyperlink ref="X24" r:id="rId4" display="https://v.douyin.com/38Scd6JrG_s/"/>
    <hyperlink ref="X26" r:id="rId5" display="https://v.douyin.com/JmcvjVd/"/>
    <hyperlink ref="X28" r:id="rId6" display="https://v.douyin.com/JmcXQpY/"/>
    <hyperlink ref="X30" r:id="rId7" display="https://www.douyin.com/user/MS4wLjABAAAAJfqON1LDmWBPlUXvQ-iwZ6AZLbLuIj72uGiFUuot89k"/>
    <hyperlink ref="X32" r:id="rId8" display="https://v.douyin.com/JJ3p572/"/>
    <hyperlink ref="X34" r:id="rId9" display="https://v.douyin.com/ihb6eF8j/"/>
    <hyperlink ref="X36" r:id="rId10" display=" https://v.douyin.com/jTKED_9fV4A/"/>
    <hyperlink ref="X38" r:id="rId11" display="https://www.douyin.com/user/MS4wLjABAAAAbRgpD5qO5M7mlI-ALMWDbsqjwiSeFC1WxNPKVgjsSCbFam1N0thGyVDw-PfRjICt"/>
    <hyperlink ref="X40" r:id="rId12" display="https://v.douyin.com/mFA-j2xaAJY/"/>
    <hyperlink ref="X42" r:id="rId13" display="https://v.douyin.com/lIhi6TchbPw/"/>
    <hyperlink ref="X44" r:id="rId14" display="https://v.douyin.com/ettSTTldPIc/"/>
    <hyperlink ref="X46" r:id="rId15" display="https://v.douyin.com/Vva749Cn4Fk/"/>
    <hyperlink ref="X48" r:id="rId16" display="https://v.douyin.com/iSUabqnS/"/>
    <hyperlink ref="X50" r:id="rId17" display="https://v.douyin.com/wq_9XvcbfS0/"/>
    <hyperlink ref="X52" r:id="rId18" display="https://v.douyin.com/jTTVNutNIRQ/"/>
    <hyperlink ref="X54" r:id="rId19" display="https://v.douyin.com/c2M4VXTdIvM/"/>
    <hyperlink ref="X56" r:id="rId20" display="https://v.douyin.com/2hO1tem8Xhg/"/>
    <hyperlink ref="X58" r:id="rId21" display="https://v.douyin.com/m8vFSRuq1co/"/>
    <hyperlink ref="X60" r:id="rId22" display="https://v.douyin.com/dO7_tPj7Mgo/ 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A47B"/>
  </sheetPr>
  <dimension ref="A1:Y53"/>
  <sheetViews>
    <sheetView showGridLines="0" workbookViewId="0">
      <selection activeCell="A1" sqref="A1:Y1"/>
    </sheetView>
  </sheetViews>
  <sheetFormatPr defaultColWidth="9" defaultRowHeight="15.2"/>
  <cols>
    <col min="1" max="1" width="16" customWidth="1"/>
    <col min="2" max="2" width="12" customWidth="1"/>
    <col min="3" max="3" width="12" hidden="1" customWidth="1"/>
    <col min="4" max="5" width="12" customWidth="1"/>
    <col min="6" max="6" width="13.0865384615385" customWidth="1"/>
    <col min="7" max="7" width="12.4134615384615" customWidth="1"/>
    <col min="8" max="8" width="10" customWidth="1"/>
    <col min="9" max="9" width="12" customWidth="1"/>
    <col min="10" max="10" width="14" customWidth="1"/>
    <col min="11" max="11" width="16" customWidth="1"/>
    <col min="12" max="12" width="12" customWidth="1"/>
    <col min="13" max="13" width="10" customWidth="1"/>
    <col min="14" max="16" width="8" customWidth="1"/>
    <col min="17" max="17" width="12" customWidth="1"/>
    <col min="18" max="18" width="13" customWidth="1"/>
    <col min="19" max="19" width="15.7115384615385" customWidth="1"/>
    <col min="20" max="20" width="13" customWidth="1"/>
    <col min="21" max="21" width="13.7596153846154" customWidth="1"/>
    <col min="22" max="22" width="13" customWidth="1"/>
    <col min="23" max="23" width="14" customWidth="1"/>
    <col min="24" max="24" width="15.5096153846154" customWidth="1"/>
    <col min="25" max="25" width="38" customWidth="1"/>
  </cols>
  <sheetData>
    <row r="1" ht="72" customHeight="1" spans="1:25">
      <c r="A1" s="6" t="s">
        <v>133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7" t="s">
        <v>31</v>
      </c>
      <c r="B2" s="7"/>
      <c r="C2" s="7"/>
      <c r="F2" s="7"/>
      <c r="G2" s="7"/>
      <c r="X2" s="7"/>
    </row>
    <row r="3" spans="1:25">
      <c r="B3" s="7"/>
      <c r="C3" s="7"/>
      <c r="F3" s="7"/>
      <c r="G3" s="7"/>
      <c r="X3" s="7"/>
    </row>
    <row r="4" spans="1:25">
      <c r="B4" s="7"/>
      <c r="C4" s="7"/>
      <c r="F4" s="7"/>
      <c r="G4" s="7"/>
      <c r="X4" s="7"/>
    </row>
    <row r="5" spans="1:25">
      <c r="B5" s="7"/>
      <c r="C5" s="7"/>
      <c r="F5" s="7"/>
      <c r="G5" s="7"/>
      <c r="X5" s="7"/>
    </row>
    <row r="6" spans="1:25">
      <c r="B6" s="7"/>
      <c r="C6" s="7"/>
      <c r="F6" s="7"/>
      <c r="G6" s="7"/>
      <c r="X6" s="7"/>
    </row>
    <row r="7" spans="1:25">
      <c r="B7" s="7"/>
      <c r="C7" s="7"/>
      <c r="F7" s="7"/>
      <c r="G7" s="7"/>
      <c r="X7" s="7"/>
    </row>
    <row r="8" spans="1:25">
      <c r="B8" s="7"/>
      <c r="C8" s="7"/>
      <c r="F8" s="7"/>
      <c r="G8" s="7"/>
      <c r="X8" s="7"/>
    </row>
    <row r="9" s="5" customFormat="1" ht="54" customHeight="1" spans="1:25">
      <c r="A9" s="8" t="s">
        <v>2</v>
      </c>
      <c r="B9" s="8" t="s">
        <v>32</v>
      </c>
      <c r="C9" s="8" t="s">
        <v>53</v>
      </c>
      <c r="D9" s="9" t="s">
        <v>33</v>
      </c>
      <c r="E9" s="9" t="s">
        <v>34</v>
      </c>
      <c r="F9" s="10" t="s">
        <v>35</v>
      </c>
      <c r="G9" s="10" t="s">
        <v>36</v>
      </c>
      <c r="H9" s="8" t="s">
        <v>37</v>
      </c>
      <c r="I9" s="11" t="s">
        <v>38</v>
      </c>
      <c r="J9" s="12" t="s">
        <v>39</v>
      </c>
      <c r="K9" s="8" t="s">
        <v>40</v>
      </c>
      <c r="L9" s="13" t="s">
        <v>41</v>
      </c>
      <c r="M9" s="13" t="s">
        <v>42</v>
      </c>
      <c r="N9" s="8" t="s">
        <v>43</v>
      </c>
      <c r="O9" s="8" t="s">
        <v>44</v>
      </c>
      <c r="P9" s="8" t="s">
        <v>45</v>
      </c>
      <c r="Q9" s="8" t="s">
        <v>46</v>
      </c>
      <c r="R9" s="8" t="s">
        <v>47</v>
      </c>
      <c r="S9" s="8" t="s">
        <v>48</v>
      </c>
      <c r="T9" s="13" t="s">
        <v>49</v>
      </c>
      <c r="U9" s="13" t="s">
        <v>50</v>
      </c>
      <c r="V9" s="13" t="s">
        <v>51</v>
      </c>
      <c r="W9" s="13" t="s">
        <v>52</v>
      </c>
      <c r="X9" s="8" t="s">
        <v>53</v>
      </c>
      <c r="Y9" s="8" t="s">
        <v>54</v>
      </c>
    </row>
    <row r="10" s="5" customFormat="1" ht="22" customHeight="1" spans="1:25">
      <c r="A10" s="3" t="s">
        <v>55</v>
      </c>
      <c r="B10" s="3" t="s">
        <v>56</v>
      </c>
      <c r="C10" s="3"/>
      <c r="D10" s="9">
        <v>10500</v>
      </c>
      <c r="E10" s="9">
        <f>D10*0.6</f>
        <v>6300</v>
      </c>
      <c r="F10" s="14" t="s">
        <v>57</v>
      </c>
      <c r="G10" s="14" t="s">
        <v>57</v>
      </c>
      <c r="H10" s="3" t="s">
        <v>58</v>
      </c>
      <c r="I10" s="9">
        <f>(E10)*(1)</f>
        <v>6300</v>
      </c>
      <c r="J10" s="15">
        <f>ROUNDUP(D10*维护参数!$B$11/维护参数!$B$12*1000,0)</f>
        <v>280000</v>
      </c>
      <c r="K10" s="3" t="s">
        <v>59</v>
      </c>
      <c r="L10" s="16">
        <f>(MAX(维护参数!$B$4,ROUNDUP(J10/10000,0)))*(维护参数!$B$2)</f>
        <v>588</v>
      </c>
      <c r="M10" s="17">
        <f>ROUNDUP(D10*维护参数!$B$16/维护参数!$B$15/1000,0)*1000</f>
        <v>21000</v>
      </c>
      <c r="N10" s="17">
        <f>ROUNDUP(D10*维护参数!$B$17/维护参数!$B$15/10,0)*10</f>
        <v>210</v>
      </c>
      <c r="O10" s="17">
        <f>ROUNDUP(D10*维护参数!$B$18/维护参数!$B$15/10,0)*10</f>
        <v>210</v>
      </c>
      <c r="P10" s="17">
        <f>ROUNDUP(D10*维护参数!$B$19/维护参数!$B$15/10,0)*10</f>
        <v>320</v>
      </c>
      <c r="Q10" s="16">
        <f>M10/1000*维护参数!$B$6+N10*维护参数!$B$7+O10*维护参数!$B$8+P10*维护参数!$B$9</f>
        <v>1513</v>
      </c>
      <c r="R10" s="16">
        <f>SUM(L10,Q10)</f>
        <v>2101</v>
      </c>
      <c r="S10" s="18">
        <f t="shared" ref="S10:S53" si="0">R10/I10</f>
        <v>0.333492063492064</v>
      </c>
      <c r="T10" s="16">
        <f t="shared" ref="T10:T53" si="1">I10-R10</f>
        <v>4199</v>
      </c>
      <c r="U10" s="18">
        <f>T10/(D10)</f>
        <v>0.399904761904762</v>
      </c>
      <c r="V10" s="16">
        <f>T10*维护参数!$B$20</f>
        <v>2729.35</v>
      </c>
      <c r="W10" s="18">
        <f>V10/(D10)</f>
        <v>0.259938095238095</v>
      </c>
      <c r="X10" s="19" t="s">
        <v>60</v>
      </c>
      <c r="Y10" s="2" t="s">
        <v>61</v>
      </c>
    </row>
    <row r="11" s="5" customFormat="1" ht="22" customHeight="1" spans="1:25">
      <c r="A11" s="3"/>
      <c r="B11" s="3"/>
      <c r="C11" s="3"/>
      <c r="D11" s="20"/>
      <c r="E11" s="20"/>
      <c r="F11" s="20"/>
      <c r="G11" s="20"/>
      <c r="H11" s="3" t="s">
        <v>62</v>
      </c>
      <c r="I11" s="9">
        <f>(D10)*(维护参数!$B$10)</f>
        <v>7350</v>
      </c>
      <c r="J11" s="21"/>
      <c r="K11" s="3" t="s">
        <v>63</v>
      </c>
      <c r="L11" s="16">
        <f>(MAX(维护参数!$B$5,ROUNDUP(J10/10000,0)))*(维护参数!$B$3)</f>
        <v>1540</v>
      </c>
      <c r="M11" s="21"/>
      <c r="N11" s="21"/>
      <c r="O11" s="21"/>
      <c r="P11" s="21"/>
      <c r="Q11" s="22"/>
      <c r="R11" s="16">
        <f>SUM(L11,Q10)</f>
        <v>3053</v>
      </c>
      <c r="S11" s="18">
        <f t="shared" si="0"/>
        <v>0.415374149659864</v>
      </c>
      <c r="T11" s="16">
        <f t="shared" si="1"/>
        <v>4297</v>
      </c>
      <c r="U11" s="18">
        <f>T11/(D10)</f>
        <v>0.409238095238095</v>
      </c>
      <c r="V11" s="16">
        <f>T11*维护参数!$B$20</f>
        <v>2793.05</v>
      </c>
      <c r="W11" s="18">
        <f>V11/(D10)</f>
        <v>0.266004761904762</v>
      </c>
      <c r="X11" s="19"/>
      <c r="Y11" s="23"/>
    </row>
    <row r="12" s="5" customFormat="1" ht="22" customHeight="1" spans="1:25">
      <c r="A12" s="3" t="s">
        <v>64</v>
      </c>
      <c r="B12" s="3" t="s">
        <v>65</v>
      </c>
      <c r="C12" s="3"/>
      <c r="D12" s="9">
        <v>11700</v>
      </c>
      <c r="E12" s="9">
        <f>D12*0.6</f>
        <v>7020</v>
      </c>
      <c r="F12" s="14" t="s">
        <v>57</v>
      </c>
      <c r="G12" s="14" t="s">
        <v>57</v>
      </c>
      <c r="H12" s="3" t="s">
        <v>58</v>
      </c>
      <c r="I12" s="9">
        <f>(E12)*(1)</f>
        <v>7020</v>
      </c>
      <c r="J12" s="15">
        <f>ROUNDUP(D12*维护参数!$B$11/维护参数!$B$12*1000,0)</f>
        <v>312000</v>
      </c>
      <c r="K12" s="3" t="s">
        <v>59</v>
      </c>
      <c r="L12" s="16">
        <f>(MAX(维护参数!$B$4,ROUNDUP(J12/10000,0)))*(维护参数!$B$2)</f>
        <v>672</v>
      </c>
      <c r="M12" s="17">
        <f>ROUNDUP(D12*维护参数!$B$16/维护参数!$B$15/1000,0)*1000</f>
        <v>24000</v>
      </c>
      <c r="N12" s="17">
        <f>ROUNDUP(D12*维护参数!$B$17/维护参数!$B$15/10,0)*10</f>
        <v>240</v>
      </c>
      <c r="O12" s="17">
        <f>ROUNDUP(D12*维护参数!$B$18/维护参数!$B$15/10,0)*10</f>
        <v>240</v>
      </c>
      <c r="P12" s="17">
        <f>ROUNDUP(D12*维护参数!$B$19/维护参数!$B$15/10,0)*10</f>
        <v>360</v>
      </c>
      <c r="Q12" s="16">
        <f>M12/1000*维护参数!$B$6+N12*维护参数!$B$7+O12*维护参数!$B$8+P12*维护参数!$B$9</f>
        <v>1728</v>
      </c>
      <c r="R12" s="16">
        <f>SUM(L12,Q12)</f>
        <v>2400</v>
      </c>
      <c r="S12" s="18">
        <f t="shared" si="0"/>
        <v>0.341880341880342</v>
      </c>
      <c r="T12" s="16">
        <f t="shared" si="1"/>
        <v>4620</v>
      </c>
      <c r="U12" s="18">
        <f>T12/(D12)</f>
        <v>0.394871794871795</v>
      </c>
      <c r="V12" s="16">
        <f>T12*维护参数!$B$20</f>
        <v>3003</v>
      </c>
      <c r="W12" s="18">
        <f>V12/(D12)</f>
        <v>0.256666666666667</v>
      </c>
      <c r="X12" s="24" t="s">
        <v>66</v>
      </c>
      <c r="Y12" s="25" t="s">
        <v>67</v>
      </c>
    </row>
    <row r="13" s="5" customFormat="1" ht="22" customHeight="1" spans="1:25">
      <c r="A13" s="3"/>
      <c r="B13" s="3"/>
      <c r="C13" s="3"/>
      <c r="D13" s="20"/>
      <c r="E13" s="20"/>
      <c r="F13" s="20"/>
      <c r="G13" s="20"/>
      <c r="H13" s="3" t="s">
        <v>62</v>
      </c>
      <c r="I13" s="9">
        <f>(D12)*(维护参数!$B$10)</f>
        <v>8190</v>
      </c>
      <c r="J13" s="21"/>
      <c r="K13" s="3" t="s">
        <v>63</v>
      </c>
      <c r="L13" s="16">
        <f>(MAX(维护参数!$B$5,ROUNDUP(J12/10000,0)))*(维护参数!$B$3)</f>
        <v>1760</v>
      </c>
      <c r="M13" s="21"/>
      <c r="N13" s="21"/>
      <c r="O13" s="21"/>
      <c r="P13" s="21"/>
      <c r="Q13" s="22"/>
      <c r="R13" s="16">
        <f>SUM(L13,Q12)</f>
        <v>3488</v>
      </c>
      <c r="S13" s="18">
        <f t="shared" si="0"/>
        <v>0.425885225885226</v>
      </c>
      <c r="T13" s="16">
        <f t="shared" si="1"/>
        <v>4702</v>
      </c>
      <c r="U13" s="18">
        <f>T13/(D12)</f>
        <v>0.401880341880342</v>
      </c>
      <c r="V13" s="16">
        <f>T13*维护参数!$B$20</f>
        <v>3056.3</v>
      </c>
      <c r="W13" s="18">
        <f>V13/(D12)</f>
        <v>0.261222222222222</v>
      </c>
      <c r="X13" s="3"/>
      <c r="Y13" s="3"/>
    </row>
    <row r="14" s="5" customFormat="1" ht="22" customHeight="1" spans="1:25">
      <c r="A14" s="3" t="s">
        <v>68</v>
      </c>
      <c r="B14" s="3" t="s">
        <v>65</v>
      </c>
      <c r="C14" s="3"/>
      <c r="D14" s="9">
        <v>6000</v>
      </c>
      <c r="E14" s="9">
        <f>D14*0.6</f>
        <v>3600</v>
      </c>
      <c r="F14" s="26">
        <v>9000</v>
      </c>
      <c r="G14" s="26">
        <f>F14*0.6</f>
        <v>5400</v>
      </c>
      <c r="H14" s="3" t="s">
        <v>58</v>
      </c>
      <c r="I14" s="9">
        <f>(E14)*(1)</f>
        <v>3600</v>
      </c>
      <c r="J14" s="15">
        <f>ROUNDUP(D14*维护参数!$B$11/维护参数!$B$12*1000,0)</f>
        <v>160000</v>
      </c>
      <c r="K14" s="3" t="s">
        <v>59</v>
      </c>
      <c r="L14" s="16">
        <f>(MAX(维护参数!$B$4,ROUNDUP(J14/10000,0)))*(维护参数!$B$2)</f>
        <v>336</v>
      </c>
      <c r="M14" s="17">
        <f>ROUNDUP(D14*维护参数!$B$16/维护参数!$B$15/1000,0)*1000</f>
        <v>12000</v>
      </c>
      <c r="N14" s="17">
        <f>ROUNDUP(D14*维护参数!$B$17/维护参数!$B$15/10,0)*10</f>
        <v>120</v>
      </c>
      <c r="O14" s="17">
        <f>ROUNDUP(D14*维护参数!$B$18/维护参数!$B$15/10,0)*10</f>
        <v>120</v>
      </c>
      <c r="P14" s="17">
        <f>ROUNDUP(D14*维护参数!$B$19/维护参数!$B$15/10,0)*10</f>
        <v>180</v>
      </c>
      <c r="Q14" s="16">
        <f>M14/1000*维护参数!$B$6+N14*维护参数!$B$7+O14*维护参数!$B$8+P14*维护参数!$B$9</f>
        <v>864</v>
      </c>
      <c r="R14" s="16">
        <f>SUM(L14,Q14)</f>
        <v>1200</v>
      </c>
      <c r="S14" s="18">
        <f t="shared" si="0"/>
        <v>0.333333333333333</v>
      </c>
      <c r="T14" s="16">
        <f t="shared" si="1"/>
        <v>2400</v>
      </c>
      <c r="U14" s="18">
        <f>T14/(D14)</f>
        <v>0.4</v>
      </c>
      <c r="V14" s="16">
        <f>T14*维护参数!$B$20</f>
        <v>1560</v>
      </c>
      <c r="W14" s="18">
        <f>V14/(D14)</f>
        <v>0.26</v>
      </c>
      <c r="X14" s="3"/>
      <c r="Y14" s="3" t="s">
        <v>69</v>
      </c>
    </row>
    <row r="15" s="5" customFormat="1" ht="22" customHeight="1" spans="1:25">
      <c r="A15" s="3"/>
      <c r="B15" s="3"/>
      <c r="C15" s="3"/>
      <c r="D15" s="20"/>
      <c r="E15" s="20"/>
      <c r="F15" s="20"/>
      <c r="G15" s="20"/>
      <c r="H15" s="3" t="s">
        <v>62</v>
      </c>
      <c r="I15" s="9">
        <f>(D14)*(维护参数!$B$10)</f>
        <v>4200</v>
      </c>
      <c r="J15" s="21"/>
      <c r="K15" s="3" t="s">
        <v>63</v>
      </c>
      <c r="L15" s="16">
        <f>(MAX(维护参数!$B$5,ROUNDUP(J14/10000,0)))*(维护参数!$B$3)</f>
        <v>880</v>
      </c>
      <c r="M15" s="21"/>
      <c r="N15" s="21"/>
      <c r="O15" s="21"/>
      <c r="P15" s="21"/>
      <c r="Q15" s="22"/>
      <c r="R15" s="16">
        <f>SUM(L15,Q14)</f>
        <v>1744</v>
      </c>
      <c r="S15" s="18">
        <f t="shared" si="0"/>
        <v>0.415238095238095</v>
      </c>
      <c r="T15" s="16">
        <f t="shared" si="1"/>
        <v>2456</v>
      </c>
      <c r="U15" s="18">
        <f>T15/(D14)</f>
        <v>0.409333333333333</v>
      </c>
      <c r="V15" s="16">
        <f>T15*维护参数!$B$20</f>
        <v>1596.4</v>
      </c>
      <c r="W15" s="18">
        <f>V15/(D14)</f>
        <v>0.266066666666667</v>
      </c>
      <c r="X15" s="3"/>
      <c r="Y15" s="3"/>
    </row>
    <row r="16" s="5" customFormat="1" ht="22" customHeight="1" spans="1:25">
      <c r="A16" s="3" t="s">
        <v>70</v>
      </c>
      <c r="B16" s="3" t="s">
        <v>71</v>
      </c>
      <c r="C16" s="3"/>
      <c r="D16" s="9">
        <v>6250</v>
      </c>
      <c r="E16" s="9">
        <f>D16*0.6</f>
        <v>3750</v>
      </c>
      <c r="F16" s="26">
        <v>7000</v>
      </c>
      <c r="G16" s="26">
        <f>F16*0.6</f>
        <v>4200</v>
      </c>
      <c r="H16" s="3" t="s">
        <v>58</v>
      </c>
      <c r="I16" s="9">
        <f>(E16)*(1)</f>
        <v>3750</v>
      </c>
      <c r="J16" s="15">
        <f>ROUNDUP(D16*维护参数!$B$11/维护参数!$B$12*1000,0)</f>
        <v>166667</v>
      </c>
      <c r="K16" s="3" t="s">
        <v>59</v>
      </c>
      <c r="L16" s="16">
        <f>(MAX(维护参数!$B$4,ROUNDUP(J16/10000,0)))*(维护参数!$B$2)</f>
        <v>357</v>
      </c>
      <c r="M16" s="17">
        <f>ROUNDUP(D16*维护参数!$B$16/维护参数!$B$15/1000,0)*1000</f>
        <v>13000</v>
      </c>
      <c r="N16" s="17">
        <f>ROUNDUP(D16*维护参数!$B$17/维护参数!$B$15/10,0)*10</f>
        <v>130</v>
      </c>
      <c r="O16" s="17">
        <f>ROUNDUP(D16*维护参数!$B$18/维护参数!$B$15/10,0)*10</f>
        <v>130</v>
      </c>
      <c r="P16" s="17">
        <f>ROUNDUP(D16*维护参数!$B$19/维护参数!$B$15/10,0)*10</f>
        <v>190</v>
      </c>
      <c r="Q16" s="16">
        <f>M16/1000*维护参数!$B$6+N16*维护参数!$B$7+O16*维护参数!$B$8+P16*维护参数!$B$9</f>
        <v>935</v>
      </c>
      <c r="R16" s="16">
        <f>SUM(L16,Q16)</f>
        <v>1292</v>
      </c>
      <c r="S16" s="18">
        <f t="shared" si="0"/>
        <v>0.344533333333333</v>
      </c>
      <c r="T16" s="16">
        <f t="shared" si="1"/>
        <v>2458</v>
      </c>
      <c r="U16" s="18">
        <f>T16/(D16)</f>
        <v>0.39328</v>
      </c>
      <c r="V16" s="16">
        <f>T16*维护参数!$B$20</f>
        <v>1597.7</v>
      </c>
      <c r="W16" s="18">
        <f>V16/(D16)</f>
        <v>0.255632</v>
      </c>
      <c r="X16" s="3"/>
      <c r="Y16" s="3" t="s">
        <v>72</v>
      </c>
    </row>
    <row r="17" s="5" customFormat="1" ht="22" customHeight="1" spans="1:25">
      <c r="A17" s="3"/>
      <c r="B17" s="3"/>
      <c r="C17" s="3"/>
      <c r="D17" s="20"/>
      <c r="E17" s="20"/>
      <c r="F17" s="20"/>
      <c r="G17" s="20"/>
      <c r="H17" s="3" t="s">
        <v>62</v>
      </c>
      <c r="I17" s="9">
        <f>(D16)*(维护参数!$B$10)</f>
        <v>4375</v>
      </c>
      <c r="J17" s="21"/>
      <c r="K17" s="3" t="s">
        <v>63</v>
      </c>
      <c r="L17" s="16">
        <f>(MAX(维护参数!$B$5,ROUNDUP(J16/10000,0)))*(维护参数!$B$3)</f>
        <v>935</v>
      </c>
      <c r="M17" s="21"/>
      <c r="N17" s="21"/>
      <c r="O17" s="21"/>
      <c r="P17" s="21"/>
      <c r="Q17" s="22"/>
      <c r="R17" s="16">
        <f>SUM(L17,Q16)</f>
        <v>1870</v>
      </c>
      <c r="S17" s="18">
        <f t="shared" si="0"/>
        <v>0.427428571428571</v>
      </c>
      <c r="T17" s="16">
        <f t="shared" si="1"/>
        <v>2505</v>
      </c>
      <c r="U17" s="18">
        <f>T17/(D16)</f>
        <v>0.4008</v>
      </c>
      <c r="V17" s="16">
        <f>T17*维护参数!$B$20</f>
        <v>1628.25</v>
      </c>
      <c r="W17" s="18">
        <f>V17/(D16)</f>
        <v>0.26052</v>
      </c>
      <c r="X17" s="3"/>
      <c r="Y17" s="3"/>
    </row>
    <row r="18" s="5" customFormat="1" ht="22" customHeight="1" spans="1:25">
      <c r="A18" s="3" t="s">
        <v>73</v>
      </c>
      <c r="B18" s="3" t="s">
        <v>74</v>
      </c>
      <c r="C18" s="3"/>
      <c r="D18" s="9">
        <v>8750</v>
      </c>
      <c r="E18" s="9">
        <f>D18*0.6</f>
        <v>5250</v>
      </c>
      <c r="F18" s="26">
        <v>10000</v>
      </c>
      <c r="G18" s="26">
        <f>F18*0.6</f>
        <v>6000</v>
      </c>
      <c r="H18" s="3" t="s">
        <v>58</v>
      </c>
      <c r="I18" s="9">
        <f>(E18)*(1)</f>
        <v>5250</v>
      </c>
      <c r="J18" s="15">
        <f>ROUNDUP(D18*维护参数!$B$11/维护参数!$B$12*1000,0)</f>
        <v>233334</v>
      </c>
      <c r="K18" s="3" t="s">
        <v>59</v>
      </c>
      <c r="L18" s="16">
        <f>(MAX(维护参数!$B$4,ROUNDUP(J18/10000,0)))*(维护参数!$B$2)</f>
        <v>504</v>
      </c>
      <c r="M18" s="17">
        <f>ROUNDUP(D18*维护参数!$B$16/维护参数!$B$15/1000,0)*1000</f>
        <v>18000</v>
      </c>
      <c r="N18" s="17">
        <f>ROUNDUP(D18*维护参数!$B$17/维护参数!$B$15/10,0)*10</f>
        <v>180</v>
      </c>
      <c r="O18" s="17">
        <f>ROUNDUP(D18*维护参数!$B$18/维护参数!$B$15/10,0)*10</f>
        <v>180</v>
      </c>
      <c r="P18" s="17">
        <f>ROUNDUP(D18*维护参数!$B$19/维护参数!$B$15/10,0)*10</f>
        <v>270</v>
      </c>
      <c r="Q18" s="16">
        <f>M18/1000*维护参数!$B$6+N18*维护参数!$B$7+O18*维护参数!$B$8+P18*维护参数!$B$9</f>
        <v>1296</v>
      </c>
      <c r="R18" s="16">
        <f>SUM(L18,Q18)</f>
        <v>1800</v>
      </c>
      <c r="S18" s="18">
        <f t="shared" si="0"/>
        <v>0.342857142857143</v>
      </c>
      <c r="T18" s="16">
        <f t="shared" si="1"/>
        <v>3450</v>
      </c>
      <c r="U18" s="18">
        <f>T18/(D18)</f>
        <v>0.394285714285714</v>
      </c>
      <c r="V18" s="16">
        <f>T18*维护参数!$B$20</f>
        <v>2242.5</v>
      </c>
      <c r="W18" s="18">
        <f>V18/(D18)</f>
        <v>0.256285714285714</v>
      </c>
      <c r="X18" s="3" t="s">
        <v>75</v>
      </c>
      <c r="Y18" s="3" t="s">
        <v>76</v>
      </c>
    </row>
    <row r="19" s="5" customFormat="1" ht="22" customHeight="1" spans="1:25">
      <c r="A19" s="3"/>
      <c r="B19" s="3"/>
      <c r="C19" s="3"/>
      <c r="D19" s="20"/>
      <c r="E19" s="20"/>
      <c r="F19" s="20"/>
      <c r="G19" s="20"/>
      <c r="H19" s="3" t="s">
        <v>62</v>
      </c>
      <c r="I19" s="9">
        <f>(D18)*(维护参数!$B$10)</f>
        <v>6125</v>
      </c>
      <c r="J19" s="21"/>
      <c r="K19" s="3" t="s">
        <v>63</v>
      </c>
      <c r="L19" s="16">
        <f>(MAX(维护参数!$B$5,ROUNDUP(J18/10000,0)))*(维护参数!$B$3)</f>
        <v>1320</v>
      </c>
      <c r="M19" s="21"/>
      <c r="N19" s="21"/>
      <c r="O19" s="21"/>
      <c r="P19" s="21"/>
      <c r="Q19" s="22"/>
      <c r="R19" s="16">
        <f>SUM(L19,Q18)</f>
        <v>2616</v>
      </c>
      <c r="S19" s="18">
        <f t="shared" si="0"/>
        <v>0.427102040816327</v>
      </c>
      <c r="T19" s="16">
        <f t="shared" si="1"/>
        <v>3509</v>
      </c>
      <c r="U19" s="18">
        <f>T19/(D18)</f>
        <v>0.401028571428571</v>
      </c>
      <c r="V19" s="16">
        <f>T19*维护参数!$B$20</f>
        <v>2280.85</v>
      </c>
      <c r="W19" s="18">
        <f>V19/(D18)</f>
        <v>0.260668571428571</v>
      </c>
      <c r="X19" s="3"/>
      <c r="Y19" s="3"/>
    </row>
    <row r="20" s="5" customFormat="1" ht="22" customHeight="1" spans="1:25">
      <c r="A20" s="3" t="s">
        <v>77</v>
      </c>
      <c r="B20" s="3" t="s">
        <v>74</v>
      </c>
      <c r="C20" s="3"/>
      <c r="D20" s="9">
        <v>6000</v>
      </c>
      <c r="E20" s="9">
        <f>D20*0.6</f>
        <v>3600</v>
      </c>
      <c r="F20" s="26">
        <v>8000</v>
      </c>
      <c r="G20" s="26">
        <f>F20*0.6</f>
        <v>4800</v>
      </c>
      <c r="H20" s="3" t="s">
        <v>58</v>
      </c>
      <c r="I20" s="9">
        <f>(E20)*(1)</f>
        <v>3600</v>
      </c>
      <c r="J20" s="15">
        <f>ROUNDUP(D20*维护参数!$B$11/维护参数!$B$12*1000,0)</f>
        <v>160000</v>
      </c>
      <c r="K20" s="3" t="s">
        <v>59</v>
      </c>
      <c r="L20" s="16">
        <f>(MAX(维护参数!$B$4,ROUNDUP(J20/10000,0)))*(维护参数!$B$2)</f>
        <v>336</v>
      </c>
      <c r="M20" s="17">
        <f>ROUNDUP(D20*维护参数!$B$16/维护参数!$B$15/1000,0)*1000</f>
        <v>12000</v>
      </c>
      <c r="N20" s="17">
        <f>ROUNDUP(D20*维护参数!$B$17/维护参数!$B$15/10,0)*10</f>
        <v>120</v>
      </c>
      <c r="O20" s="17">
        <f>ROUNDUP(D20*维护参数!$B$18/维护参数!$B$15/10,0)*10</f>
        <v>120</v>
      </c>
      <c r="P20" s="17">
        <f>ROUNDUP(D20*维护参数!$B$19/维护参数!$B$15/10,0)*10</f>
        <v>180</v>
      </c>
      <c r="Q20" s="16">
        <f>M20/1000*维护参数!$B$6+N20*维护参数!$B$7+O20*维护参数!$B$8+P20*维护参数!$B$9</f>
        <v>864</v>
      </c>
      <c r="R20" s="16">
        <f>SUM(L20,Q20)</f>
        <v>1200</v>
      </c>
      <c r="S20" s="18">
        <f t="shared" si="0"/>
        <v>0.333333333333333</v>
      </c>
      <c r="T20" s="16">
        <f t="shared" si="1"/>
        <v>2400</v>
      </c>
      <c r="U20" s="18">
        <f>T20/(D20)</f>
        <v>0.4</v>
      </c>
      <c r="V20" s="16">
        <f>T20*维护参数!$B$20</f>
        <v>1560</v>
      </c>
      <c r="W20" s="18">
        <f>V20/(D20)</f>
        <v>0.26</v>
      </c>
      <c r="X20" s="3"/>
      <c r="Y20" s="3" t="s">
        <v>78</v>
      </c>
    </row>
    <row r="21" s="5" customFormat="1" ht="22" customHeight="1" spans="1:25">
      <c r="A21" s="3"/>
      <c r="B21" s="3"/>
      <c r="C21" s="3"/>
      <c r="D21" s="20"/>
      <c r="E21" s="20"/>
      <c r="F21" s="20"/>
      <c r="G21" s="20"/>
      <c r="H21" s="3" t="s">
        <v>62</v>
      </c>
      <c r="I21" s="9">
        <f>(D20)*(维护参数!$B$10)</f>
        <v>4200</v>
      </c>
      <c r="J21" s="21"/>
      <c r="K21" s="3" t="s">
        <v>63</v>
      </c>
      <c r="L21" s="16">
        <f>(MAX(维护参数!$B$5,ROUNDUP(J20/10000,0)))*(维护参数!$B$3)</f>
        <v>880</v>
      </c>
      <c r="M21" s="21"/>
      <c r="N21" s="21"/>
      <c r="O21" s="21"/>
      <c r="P21" s="21"/>
      <c r="Q21" s="22"/>
      <c r="R21" s="16">
        <f>SUM(L21,Q20)</f>
        <v>1744</v>
      </c>
      <c r="S21" s="18">
        <f t="shared" si="0"/>
        <v>0.415238095238095</v>
      </c>
      <c r="T21" s="16">
        <f t="shared" si="1"/>
        <v>2456</v>
      </c>
      <c r="U21" s="18">
        <f>T21/(D20)</f>
        <v>0.409333333333333</v>
      </c>
      <c r="V21" s="16">
        <f>T21*维护参数!$B$20</f>
        <v>1596.4</v>
      </c>
      <c r="W21" s="18">
        <f>V21/(D20)</f>
        <v>0.266066666666667</v>
      </c>
      <c r="X21" s="3"/>
      <c r="Y21" s="3"/>
    </row>
    <row r="22" s="5" customFormat="1" ht="22" customHeight="1" spans="1:25">
      <c r="A22" s="3" t="s">
        <v>79</v>
      </c>
      <c r="B22" s="3" t="s">
        <v>80</v>
      </c>
      <c r="C22" s="3" t="s">
        <v>81</v>
      </c>
      <c r="D22" s="9">
        <v>6000</v>
      </c>
      <c r="E22" s="9">
        <f>D22*0.6</f>
        <v>3600</v>
      </c>
      <c r="F22" s="14" t="s">
        <v>57</v>
      </c>
      <c r="G22" s="14" t="s">
        <v>57</v>
      </c>
      <c r="H22" s="3" t="s">
        <v>58</v>
      </c>
      <c r="I22" s="9">
        <f>(E22)*(1)</f>
        <v>3600</v>
      </c>
      <c r="J22" s="15">
        <f>ROUNDUP(D22*维护参数!$B$11/维护参数!$B$12*1000,0)</f>
        <v>160000</v>
      </c>
      <c r="K22" s="3" t="s">
        <v>59</v>
      </c>
      <c r="L22" s="16">
        <f>(MAX(维护参数!$B$4,ROUNDUP(J22/10000,0)))*(维护参数!$B$2)</f>
        <v>336</v>
      </c>
      <c r="M22" s="17">
        <f>ROUNDUP(D22*维护参数!$B$16/维护参数!$B$15/1000,0)*1000</f>
        <v>12000</v>
      </c>
      <c r="N22" s="17">
        <f>ROUNDUP(D22*维护参数!$B$17/维护参数!$B$15/10,0)*10</f>
        <v>120</v>
      </c>
      <c r="O22" s="17">
        <f>ROUNDUP(D22*维护参数!$B$18/维护参数!$B$15/10,0)*10</f>
        <v>120</v>
      </c>
      <c r="P22" s="17">
        <f>ROUNDUP(D22*维护参数!$B$19/维护参数!$B$15/10,0)*10</f>
        <v>180</v>
      </c>
      <c r="Q22" s="16">
        <f>M22/1000*维护参数!$B$6+N22*维护参数!$B$7+O22*维护参数!$B$8+P22*维护参数!$B$9</f>
        <v>864</v>
      </c>
      <c r="R22" s="16">
        <f>SUM(L22,Q22)</f>
        <v>1200</v>
      </c>
      <c r="S22" s="18">
        <f t="shared" si="0"/>
        <v>0.333333333333333</v>
      </c>
      <c r="T22" s="16">
        <f t="shared" si="1"/>
        <v>2400</v>
      </c>
      <c r="U22" s="18">
        <f>T22/(D22)</f>
        <v>0.4</v>
      </c>
      <c r="V22" s="16">
        <f>T22*维护参数!$B$20</f>
        <v>1560</v>
      </c>
      <c r="W22" s="18">
        <f>V22/(D22)</f>
        <v>0.26</v>
      </c>
      <c r="X22" s="3" t="s">
        <v>81</v>
      </c>
      <c r="Y22" s="3" t="s">
        <v>82</v>
      </c>
    </row>
    <row r="23" s="5" customFormat="1" ht="22" customHeight="1" spans="1:25">
      <c r="A23" s="3"/>
      <c r="B23" s="3"/>
      <c r="C23" s="3"/>
      <c r="D23" s="20"/>
      <c r="E23" s="20"/>
      <c r="F23" s="20"/>
      <c r="G23" s="20"/>
      <c r="H23" s="3" t="s">
        <v>62</v>
      </c>
      <c r="I23" s="9">
        <f>(D22)*(维护参数!$B$10)</f>
        <v>4200</v>
      </c>
      <c r="J23" s="21"/>
      <c r="K23" s="3" t="s">
        <v>63</v>
      </c>
      <c r="L23" s="16">
        <f>(MAX(维护参数!$B$5,ROUNDUP(J22/10000,0)))*(维护参数!$B$3)</f>
        <v>880</v>
      </c>
      <c r="M23" s="21"/>
      <c r="N23" s="21"/>
      <c r="O23" s="21"/>
      <c r="P23" s="21"/>
      <c r="Q23" s="22"/>
      <c r="R23" s="16">
        <f>SUM(L23,Q22)</f>
        <v>1744</v>
      </c>
      <c r="S23" s="18">
        <f t="shared" si="0"/>
        <v>0.415238095238095</v>
      </c>
      <c r="T23" s="16">
        <f t="shared" si="1"/>
        <v>2456</v>
      </c>
      <c r="U23" s="18">
        <f>T23/(D22)</f>
        <v>0.409333333333333</v>
      </c>
      <c r="V23" s="16">
        <f>T23*维护参数!$B$20</f>
        <v>1596.4</v>
      </c>
      <c r="W23" s="18">
        <f>V23/(D22)</f>
        <v>0.266066666666667</v>
      </c>
      <c r="X23" s="3"/>
      <c r="Y23" s="3"/>
    </row>
    <row r="24" s="5" customFormat="1" ht="22" customHeight="1" spans="1:25">
      <c r="A24" s="3" t="s">
        <v>83</v>
      </c>
      <c r="B24" s="3" t="s">
        <v>84</v>
      </c>
      <c r="C24" s="3" t="s">
        <v>134</v>
      </c>
      <c r="D24" s="9">
        <v>6000</v>
      </c>
      <c r="E24" s="9">
        <f>D24*0.6</f>
        <v>3600</v>
      </c>
      <c r="F24" s="26">
        <v>8000</v>
      </c>
      <c r="G24" s="26">
        <f>F24*0.6</f>
        <v>4800</v>
      </c>
      <c r="H24" s="3" t="s">
        <v>58</v>
      </c>
      <c r="I24" s="9">
        <f>(E24)*(1)</f>
        <v>3600</v>
      </c>
      <c r="J24" s="15">
        <f>ROUNDUP(D24*维护参数!$B$11/维护参数!$B$12*1000,0)</f>
        <v>160000</v>
      </c>
      <c r="K24" s="3" t="s">
        <v>59</v>
      </c>
      <c r="L24" s="16">
        <f>(MAX(维护参数!$B$4,ROUNDUP(J24/10000,0)))*(维护参数!$B$2)</f>
        <v>336</v>
      </c>
      <c r="M24" s="17">
        <f>ROUNDUP(D24*维护参数!$B$16/维护参数!$B$15/1000,0)*1000</f>
        <v>12000</v>
      </c>
      <c r="N24" s="17">
        <f>ROUNDUP(D24*维护参数!$B$17/维护参数!$B$15/10,0)*10</f>
        <v>120</v>
      </c>
      <c r="O24" s="17">
        <f>ROUNDUP(D24*维护参数!$B$18/维护参数!$B$15/10,0)*10</f>
        <v>120</v>
      </c>
      <c r="P24" s="17">
        <f>ROUNDUP(D24*维护参数!$B$19/维护参数!$B$15/10,0)*10</f>
        <v>180</v>
      </c>
      <c r="Q24" s="16">
        <f>M24/1000*维护参数!$B$6+N24*维护参数!$B$7+O24*维护参数!$B$8+P24*维护参数!$B$9</f>
        <v>864</v>
      </c>
      <c r="R24" s="16">
        <f>SUM(L24,Q24)</f>
        <v>1200</v>
      </c>
      <c r="S24" s="18">
        <f t="shared" si="0"/>
        <v>0.333333333333333</v>
      </c>
      <c r="T24" s="16">
        <f t="shared" si="1"/>
        <v>2400</v>
      </c>
      <c r="U24" s="18">
        <f>T24/(D24)</f>
        <v>0.4</v>
      </c>
      <c r="V24" s="16">
        <f>T24*维护参数!$B$20</f>
        <v>1560</v>
      </c>
      <c r="W24" s="18">
        <f>V24/(D24)</f>
        <v>0.26</v>
      </c>
      <c r="X24" s="3" t="s">
        <v>85</v>
      </c>
      <c r="Y24" s="3" t="s">
        <v>86</v>
      </c>
    </row>
    <row r="25" s="5" customFormat="1" ht="22" customHeight="1" spans="1:25">
      <c r="A25" s="3"/>
      <c r="B25" s="3"/>
      <c r="C25" s="3"/>
      <c r="D25" s="20"/>
      <c r="E25" s="20"/>
      <c r="F25" s="20"/>
      <c r="G25" s="20"/>
      <c r="H25" s="3" t="s">
        <v>62</v>
      </c>
      <c r="I25" s="9">
        <f>(D24)*(维护参数!$B$10)</f>
        <v>4200</v>
      </c>
      <c r="J25" s="21"/>
      <c r="K25" s="3" t="s">
        <v>63</v>
      </c>
      <c r="L25" s="16">
        <f>(MAX(维护参数!$B$5,ROUNDUP(J24/10000,0)))*(维护参数!$B$3)</f>
        <v>880</v>
      </c>
      <c r="M25" s="21"/>
      <c r="N25" s="21"/>
      <c r="O25" s="21"/>
      <c r="P25" s="21"/>
      <c r="Q25" s="22"/>
      <c r="R25" s="16">
        <f>SUM(L25,Q24)</f>
        <v>1744</v>
      </c>
      <c r="S25" s="18">
        <f t="shared" si="0"/>
        <v>0.415238095238095</v>
      </c>
      <c r="T25" s="16">
        <f t="shared" si="1"/>
        <v>2456</v>
      </c>
      <c r="U25" s="18">
        <f>T25/(D24)</f>
        <v>0.409333333333333</v>
      </c>
      <c r="V25" s="16">
        <f>T25*维护参数!$B$20</f>
        <v>1596.4</v>
      </c>
      <c r="W25" s="18">
        <f>V25/(D24)</f>
        <v>0.266066666666667</v>
      </c>
      <c r="X25" s="3"/>
      <c r="Y25" s="3"/>
    </row>
    <row r="26" s="5" customFormat="1" ht="22" customHeight="1" spans="1:25">
      <c r="A26" s="3" t="s">
        <v>87</v>
      </c>
      <c r="B26" s="3" t="s">
        <v>84</v>
      </c>
      <c r="C26" s="3"/>
      <c r="D26" s="9">
        <v>4800</v>
      </c>
      <c r="E26" s="9">
        <f>D26*0.6</f>
        <v>2880</v>
      </c>
      <c r="F26" s="26">
        <v>6000</v>
      </c>
      <c r="G26" s="26">
        <f>F26*0.6</f>
        <v>3600</v>
      </c>
      <c r="H26" s="3" t="s">
        <v>58</v>
      </c>
      <c r="I26" s="9">
        <f>(E26)*(1)</f>
        <v>2880</v>
      </c>
      <c r="J26" s="15">
        <f>ROUNDUP(D26*维护参数!$B$11/维护参数!$B$12*1000,0)</f>
        <v>128000</v>
      </c>
      <c r="K26" s="3" t="s">
        <v>59</v>
      </c>
      <c r="L26" s="16">
        <f>(MAX(维护参数!$B$4,ROUNDUP(J26/10000,0)))*(维护参数!$B$2)</f>
        <v>273</v>
      </c>
      <c r="M26" s="17">
        <f>ROUNDUP(D26*维护参数!$B$16/维护参数!$B$15/1000,0)*1000</f>
        <v>10000</v>
      </c>
      <c r="N26" s="17">
        <f>ROUNDUP(D26*维护参数!$B$17/维护参数!$B$15/10,0)*10</f>
        <v>100</v>
      </c>
      <c r="O26" s="17">
        <f>ROUNDUP(D26*维护参数!$B$18/维护参数!$B$15/10,0)*10</f>
        <v>100</v>
      </c>
      <c r="P26" s="17">
        <f>ROUNDUP(D26*维护参数!$B$19/维护参数!$B$15/10,0)*10</f>
        <v>150</v>
      </c>
      <c r="Q26" s="16">
        <f>M26/1000*维护参数!$B$6+N26*维护参数!$B$7+O26*维护参数!$B$8+P26*维护参数!$B$9</f>
        <v>720</v>
      </c>
      <c r="R26" s="16">
        <f>SUM(L26,Q26)</f>
        <v>993</v>
      </c>
      <c r="S26" s="18">
        <f t="shared" si="0"/>
        <v>0.344791666666667</v>
      </c>
      <c r="T26" s="16">
        <f t="shared" si="1"/>
        <v>1887</v>
      </c>
      <c r="U26" s="18">
        <f>T26/(D26)</f>
        <v>0.393125</v>
      </c>
      <c r="V26" s="16">
        <f>T26*维护参数!$B$20</f>
        <v>1226.55</v>
      </c>
      <c r="W26" s="18">
        <f>V26/(D26)</f>
        <v>0.25553125</v>
      </c>
      <c r="X26" s="3"/>
      <c r="Y26" s="3" t="s">
        <v>88</v>
      </c>
    </row>
    <row r="27" s="5" customFormat="1" ht="22" customHeight="1" spans="1:25">
      <c r="A27" s="3"/>
      <c r="B27" s="3"/>
      <c r="C27" s="3"/>
      <c r="D27" s="20"/>
      <c r="E27" s="20"/>
      <c r="F27" s="20"/>
      <c r="G27" s="20"/>
      <c r="H27" s="3" t="s">
        <v>62</v>
      </c>
      <c r="I27" s="9">
        <f>(D26)*(维护参数!$B$10)</f>
        <v>3360</v>
      </c>
      <c r="J27" s="21"/>
      <c r="K27" s="3" t="s">
        <v>63</v>
      </c>
      <c r="L27" s="16">
        <f>(MAX(维护参数!$B$5,ROUNDUP(J26/10000,0)))*(维护参数!$B$3)</f>
        <v>715</v>
      </c>
      <c r="M27" s="21"/>
      <c r="N27" s="21"/>
      <c r="O27" s="21"/>
      <c r="P27" s="21"/>
      <c r="Q27" s="22"/>
      <c r="R27" s="16">
        <f>SUM(L27,Q26)</f>
        <v>1435</v>
      </c>
      <c r="S27" s="18">
        <f t="shared" si="0"/>
        <v>0.427083333333333</v>
      </c>
      <c r="T27" s="16">
        <f t="shared" si="1"/>
        <v>1925</v>
      </c>
      <c r="U27" s="18">
        <f>T27/(D26)</f>
        <v>0.401041666666667</v>
      </c>
      <c r="V27" s="16">
        <f>T27*维护参数!$B$20</f>
        <v>1251.25</v>
      </c>
      <c r="W27" s="18">
        <f>V27/(D26)</f>
        <v>0.260677083333333</v>
      </c>
      <c r="X27" s="3"/>
      <c r="Y27" s="3"/>
    </row>
    <row r="28" s="5" customFormat="1" ht="22" customHeight="1" spans="1:25">
      <c r="A28" s="3" t="s">
        <v>89</v>
      </c>
      <c r="B28" s="3" t="s">
        <v>71</v>
      </c>
      <c r="C28" s="3" t="s">
        <v>81</v>
      </c>
      <c r="D28" s="9">
        <v>3500</v>
      </c>
      <c r="E28" s="9">
        <f>D28*0.6</f>
        <v>2100</v>
      </c>
      <c r="F28" s="26">
        <v>4500</v>
      </c>
      <c r="G28" s="26">
        <f>F28*0.6</f>
        <v>2700</v>
      </c>
      <c r="H28" s="3" t="s">
        <v>58</v>
      </c>
      <c r="I28" s="9">
        <f>(E28)*(1)</f>
        <v>2100</v>
      </c>
      <c r="J28" s="15">
        <f>ROUNDUP(D28*维护参数!$B$11/维护参数!$B$12*1000,0)</f>
        <v>93334</v>
      </c>
      <c r="K28" s="3" t="s">
        <v>59</v>
      </c>
      <c r="L28" s="16">
        <f>(MAX(维护参数!$B$4,ROUNDUP(J28/10000,0)))*(维护参数!$B$2)</f>
        <v>210</v>
      </c>
      <c r="M28" s="17">
        <f>ROUNDUP(D28*维护参数!$B$16/维护参数!$B$15/1000,0)*1000</f>
        <v>7000</v>
      </c>
      <c r="N28" s="17">
        <f>ROUNDUP(D28*维护参数!$B$17/维护参数!$B$15/10,0)*10</f>
        <v>70</v>
      </c>
      <c r="O28" s="17">
        <f>ROUNDUP(D28*维护参数!$B$18/维护参数!$B$15/10,0)*10</f>
        <v>70</v>
      </c>
      <c r="P28" s="17">
        <f>ROUNDUP(D28*维护参数!$B$19/维护参数!$B$15/10,0)*10</f>
        <v>110</v>
      </c>
      <c r="Q28" s="16">
        <f>M28/1000*维护参数!$B$6+N28*维护参数!$B$7+O28*维护参数!$B$8+P28*维护参数!$B$9</f>
        <v>505</v>
      </c>
      <c r="R28" s="16">
        <f>SUM(L28,Q28)</f>
        <v>715</v>
      </c>
      <c r="S28" s="18">
        <f t="shared" si="0"/>
        <v>0.34047619047619</v>
      </c>
      <c r="T28" s="16">
        <f t="shared" si="1"/>
        <v>1385</v>
      </c>
      <c r="U28" s="18">
        <f>T28/(D28)</f>
        <v>0.395714285714286</v>
      </c>
      <c r="V28" s="16">
        <f>T28*维护参数!$B$20</f>
        <v>900.25</v>
      </c>
      <c r="W28" s="18">
        <f>V28/(D28)</f>
        <v>0.257214285714286</v>
      </c>
      <c r="X28" s="3" t="s">
        <v>81</v>
      </c>
      <c r="Y28" s="3" t="s">
        <v>90</v>
      </c>
    </row>
    <row r="29" s="5" customFormat="1" ht="22" customHeight="1" spans="1:25">
      <c r="A29" s="3"/>
      <c r="B29" s="3"/>
      <c r="C29" s="3"/>
      <c r="D29" s="20"/>
      <c r="E29" s="20"/>
      <c r="F29" s="20"/>
      <c r="G29" s="20"/>
      <c r="H29" s="3" t="s">
        <v>62</v>
      </c>
      <c r="I29" s="9">
        <f>(D28)*(维护参数!$B$10)</f>
        <v>2450</v>
      </c>
      <c r="J29" s="21"/>
      <c r="K29" s="3" t="s">
        <v>63</v>
      </c>
      <c r="L29" s="16">
        <f>(MAX(维护参数!$B$5,ROUNDUP(J28/10000,0)))*(维护参数!$B$3)</f>
        <v>550</v>
      </c>
      <c r="M29" s="21"/>
      <c r="N29" s="21"/>
      <c r="O29" s="21"/>
      <c r="P29" s="21"/>
      <c r="Q29" s="22"/>
      <c r="R29" s="16">
        <f>SUM(L29,Q28)</f>
        <v>1055</v>
      </c>
      <c r="S29" s="18">
        <f t="shared" si="0"/>
        <v>0.430612244897959</v>
      </c>
      <c r="T29" s="16">
        <f t="shared" si="1"/>
        <v>1395</v>
      </c>
      <c r="U29" s="18">
        <f>T29/(D28)</f>
        <v>0.398571428571429</v>
      </c>
      <c r="V29" s="16">
        <f>T29*维护参数!$B$20</f>
        <v>906.75</v>
      </c>
      <c r="W29" s="18">
        <f>V29/(D28)</f>
        <v>0.259071428571429</v>
      </c>
      <c r="X29" s="3"/>
      <c r="Y29" s="3"/>
    </row>
    <row r="30" s="5" customFormat="1" ht="22" customHeight="1" spans="1:25">
      <c r="A30" s="3" t="s">
        <v>91</v>
      </c>
      <c r="B30" s="3" t="s">
        <v>92</v>
      </c>
      <c r="C30" s="3"/>
      <c r="D30" s="9">
        <v>7800</v>
      </c>
      <c r="E30" s="9">
        <f>D30*0.6</f>
        <v>4680</v>
      </c>
      <c r="F30" s="14" t="s">
        <v>57</v>
      </c>
      <c r="G30" s="14" t="s">
        <v>57</v>
      </c>
      <c r="H30" s="3" t="s">
        <v>58</v>
      </c>
      <c r="I30" s="9">
        <f>(E30)*(1)</f>
        <v>4680</v>
      </c>
      <c r="J30" s="15">
        <f>ROUNDUP(D30*维护参数!$B$11/维护参数!$B$12*1000,0)</f>
        <v>208000</v>
      </c>
      <c r="K30" s="3" t="s">
        <v>59</v>
      </c>
      <c r="L30" s="16">
        <f>(MAX(维护参数!$B$4,ROUNDUP(J30/10000,0)))*(维护参数!$B$2)</f>
        <v>441</v>
      </c>
      <c r="M30" s="17">
        <f>ROUNDUP(D30*维护参数!$B$16/维护参数!$B$15/1000,0)*1000</f>
        <v>16000</v>
      </c>
      <c r="N30" s="17">
        <f>ROUNDUP(D30*维护参数!$B$17/维护参数!$B$15/10,0)*10</f>
        <v>160</v>
      </c>
      <c r="O30" s="17">
        <f>ROUNDUP(D30*维护参数!$B$18/维护参数!$B$15/10,0)*10</f>
        <v>160</v>
      </c>
      <c r="P30" s="17">
        <f>ROUNDUP(D30*维护参数!$B$19/维护参数!$B$15/10,0)*10</f>
        <v>240</v>
      </c>
      <c r="Q30" s="16">
        <f>M30/1000*维护参数!$B$6+N30*维护参数!$B$7+O30*维护参数!$B$8+P30*维护参数!$B$9</f>
        <v>1152</v>
      </c>
      <c r="R30" s="16">
        <f>SUM(L30,Q30)</f>
        <v>1593</v>
      </c>
      <c r="S30" s="18">
        <f t="shared" si="0"/>
        <v>0.340384615384615</v>
      </c>
      <c r="T30" s="16">
        <f t="shared" si="1"/>
        <v>3087</v>
      </c>
      <c r="U30" s="18">
        <f>T30/(D30)</f>
        <v>0.395769230769231</v>
      </c>
      <c r="V30" s="16">
        <f>T30*维护参数!$B$20</f>
        <v>2006.55</v>
      </c>
      <c r="W30" s="18">
        <f>V30/(D30)</f>
        <v>0.25725</v>
      </c>
      <c r="X30" s="3"/>
      <c r="Y30" s="3" t="s">
        <v>93</v>
      </c>
    </row>
    <row r="31" s="5" customFormat="1" ht="22" customHeight="1" spans="1:25">
      <c r="A31" s="3"/>
      <c r="B31" s="3"/>
      <c r="C31" s="3"/>
      <c r="D31" s="20"/>
      <c r="E31" s="20"/>
      <c r="F31" s="20"/>
      <c r="G31" s="20"/>
      <c r="H31" s="3" t="s">
        <v>62</v>
      </c>
      <c r="I31" s="9">
        <f>(D30)*(维护参数!$B$10)</f>
        <v>5460</v>
      </c>
      <c r="J31" s="21"/>
      <c r="K31" s="3" t="s">
        <v>63</v>
      </c>
      <c r="L31" s="16">
        <f>(MAX(维护参数!$B$5,ROUNDUP(J30/10000,0)))*(维护参数!$B$3)</f>
        <v>1155</v>
      </c>
      <c r="M31" s="21"/>
      <c r="N31" s="21"/>
      <c r="O31" s="21"/>
      <c r="P31" s="21"/>
      <c r="Q31" s="22"/>
      <c r="R31" s="16">
        <f>SUM(L31,Q30)</f>
        <v>2307</v>
      </c>
      <c r="S31" s="18">
        <f t="shared" si="0"/>
        <v>0.422527472527473</v>
      </c>
      <c r="T31" s="16">
        <f t="shared" si="1"/>
        <v>3153</v>
      </c>
      <c r="U31" s="18">
        <f>T31/(D30)</f>
        <v>0.404230769230769</v>
      </c>
      <c r="V31" s="16">
        <f>T31*维护参数!$B$20</f>
        <v>2049.45</v>
      </c>
      <c r="W31" s="18">
        <f>V31/(D30)</f>
        <v>0.26275</v>
      </c>
      <c r="X31" s="3"/>
      <c r="Y31" s="3"/>
    </row>
    <row r="32" s="5" customFormat="1" ht="22" customHeight="1" spans="1:25">
      <c r="A32" s="3" t="s">
        <v>94</v>
      </c>
      <c r="B32" s="3" t="s">
        <v>95</v>
      </c>
      <c r="C32" s="3" t="s">
        <v>81</v>
      </c>
      <c r="D32" s="9">
        <v>3750</v>
      </c>
      <c r="E32" s="9">
        <f>D32*0.6</f>
        <v>2250</v>
      </c>
      <c r="F32" s="26">
        <v>5000</v>
      </c>
      <c r="G32" s="26">
        <f>F32*0.6</f>
        <v>3000</v>
      </c>
      <c r="H32" s="3" t="s">
        <v>58</v>
      </c>
      <c r="I32" s="9">
        <f>(E32)*(1)</f>
        <v>2250</v>
      </c>
      <c r="J32" s="15">
        <f>ROUNDUP(D32*维护参数!$B$11/维护参数!$B$12*1000,0)</f>
        <v>100000</v>
      </c>
      <c r="K32" s="3" t="s">
        <v>59</v>
      </c>
      <c r="L32" s="16">
        <f>(MAX(维护参数!$B$4,ROUNDUP(J32/10000,0)))*(维护参数!$B$2)</f>
        <v>210</v>
      </c>
      <c r="M32" s="17">
        <f>ROUNDUP(D32*维护参数!$B$16/维护参数!$B$15/1000,0)*1000</f>
        <v>8000</v>
      </c>
      <c r="N32" s="17">
        <f>ROUNDUP(D32*维护参数!$B$17/维护参数!$B$15/10,0)*10</f>
        <v>80</v>
      </c>
      <c r="O32" s="17">
        <f>ROUNDUP(D32*维护参数!$B$18/维护参数!$B$15/10,0)*10</f>
        <v>80</v>
      </c>
      <c r="P32" s="17">
        <f>ROUNDUP(D32*维护参数!$B$19/维护参数!$B$15/10,0)*10</f>
        <v>120</v>
      </c>
      <c r="Q32" s="16">
        <f>M32/1000*维护参数!$B$6+N32*维护参数!$B$7+O32*维护参数!$B$8+P32*维护参数!$B$9</f>
        <v>576</v>
      </c>
      <c r="R32" s="16">
        <f>SUM(L32,Q32)</f>
        <v>786</v>
      </c>
      <c r="S32" s="18">
        <f t="shared" si="0"/>
        <v>0.349333333333333</v>
      </c>
      <c r="T32" s="16">
        <f t="shared" si="1"/>
        <v>1464</v>
      </c>
      <c r="U32" s="18">
        <f>T32/(D32)</f>
        <v>0.3904</v>
      </c>
      <c r="V32" s="16">
        <f>T32*维护参数!$B$20</f>
        <v>951.6</v>
      </c>
      <c r="W32" s="18">
        <f>V32/(D32)</f>
        <v>0.25376</v>
      </c>
      <c r="X32" s="3" t="s">
        <v>81</v>
      </c>
      <c r="Y32" s="3" t="s">
        <v>96</v>
      </c>
    </row>
    <row r="33" s="5" customFormat="1" ht="22" customHeight="1" spans="1:25">
      <c r="A33" s="3"/>
      <c r="B33" s="3"/>
      <c r="C33" s="3"/>
      <c r="D33" s="20"/>
      <c r="E33" s="20"/>
      <c r="F33" s="20"/>
      <c r="G33" s="20"/>
      <c r="H33" s="3" t="s">
        <v>62</v>
      </c>
      <c r="I33" s="9">
        <f>(D32)*(维护参数!$B$10)</f>
        <v>2625</v>
      </c>
      <c r="J33" s="21"/>
      <c r="K33" s="3" t="s">
        <v>63</v>
      </c>
      <c r="L33" s="16">
        <f>(MAX(维护参数!$B$5,ROUNDUP(J32/10000,0)))*(维护参数!$B$3)</f>
        <v>550</v>
      </c>
      <c r="M33" s="21"/>
      <c r="N33" s="21"/>
      <c r="O33" s="21"/>
      <c r="P33" s="21"/>
      <c r="Q33" s="22"/>
      <c r="R33" s="16">
        <f>SUM(L33,Q32)</f>
        <v>1126</v>
      </c>
      <c r="S33" s="18">
        <f t="shared" si="0"/>
        <v>0.428952380952381</v>
      </c>
      <c r="T33" s="16">
        <f t="shared" si="1"/>
        <v>1499</v>
      </c>
      <c r="U33" s="18">
        <f>T33/(D32)</f>
        <v>0.399733333333333</v>
      </c>
      <c r="V33" s="16">
        <f>T33*维护参数!$B$20</f>
        <v>974.35</v>
      </c>
      <c r="W33" s="18">
        <f>V33/(D32)</f>
        <v>0.259826666666667</v>
      </c>
      <c r="X33" s="3"/>
      <c r="Y33" s="3"/>
    </row>
    <row r="34" s="5" customFormat="1" ht="22" customHeight="1" spans="1:25">
      <c r="A34" s="3" t="s">
        <v>97</v>
      </c>
      <c r="B34" s="3" t="s">
        <v>95</v>
      </c>
      <c r="C34" s="3" t="s">
        <v>135</v>
      </c>
      <c r="D34" s="9">
        <v>3000</v>
      </c>
      <c r="E34" s="9">
        <f>D34*0.6</f>
        <v>1800</v>
      </c>
      <c r="F34" s="26">
        <v>5000</v>
      </c>
      <c r="G34" s="26">
        <f>F34*0.6</f>
        <v>3000</v>
      </c>
      <c r="H34" s="3" t="s">
        <v>58</v>
      </c>
      <c r="I34" s="9">
        <f>(E34)*(1)</f>
        <v>1800</v>
      </c>
      <c r="J34" s="15">
        <f>ROUNDUP(D34*维护参数!$B$11/维护参数!$B$12*1000,0)</f>
        <v>80000</v>
      </c>
      <c r="K34" s="3" t="s">
        <v>59</v>
      </c>
      <c r="L34" s="16">
        <f>(MAX(维护参数!$B$4,ROUNDUP(J34/10000,0)))*(维护参数!$B$2)</f>
        <v>210</v>
      </c>
      <c r="M34" s="17">
        <f>ROUNDUP(D34*维护参数!$B$16/维护参数!$B$15/1000,0)*1000</f>
        <v>6000</v>
      </c>
      <c r="N34" s="17">
        <f>ROUNDUP(D34*维护参数!$B$17/维护参数!$B$15/10,0)*10</f>
        <v>60</v>
      </c>
      <c r="O34" s="17">
        <f>ROUNDUP(D34*维护参数!$B$18/维护参数!$B$15/10,0)*10</f>
        <v>60</v>
      </c>
      <c r="P34" s="17">
        <f>ROUNDUP(D34*维护参数!$B$19/维护参数!$B$15/10,0)*10</f>
        <v>90</v>
      </c>
      <c r="Q34" s="16">
        <f>M34/1000*维护参数!$B$6+N34*维护参数!$B$7+O34*维护参数!$B$8+P34*维护参数!$B$9</f>
        <v>432</v>
      </c>
      <c r="R34" s="16">
        <f>SUM(L34,Q34)</f>
        <v>642</v>
      </c>
      <c r="S34" s="18">
        <f t="shared" si="0"/>
        <v>0.356666666666667</v>
      </c>
      <c r="T34" s="16">
        <f t="shared" si="1"/>
        <v>1158</v>
      </c>
      <c r="U34" s="18">
        <f>T34/(D34)</f>
        <v>0.386</v>
      </c>
      <c r="V34" s="16">
        <f>T34*维护参数!$B$20</f>
        <v>752.7</v>
      </c>
      <c r="W34" s="18">
        <f>V34/(D34)</f>
        <v>0.2509</v>
      </c>
      <c r="X34" s="27" t="s">
        <v>98</v>
      </c>
      <c r="Y34" s="3" t="s">
        <v>99</v>
      </c>
    </row>
    <row r="35" s="5" customFormat="1" ht="22" customHeight="1" spans="1:25">
      <c r="A35" s="3"/>
      <c r="B35" s="3"/>
      <c r="C35" s="3"/>
      <c r="D35" s="20"/>
      <c r="E35" s="20"/>
      <c r="F35" s="20"/>
      <c r="G35" s="20"/>
      <c r="H35" s="3" t="s">
        <v>62</v>
      </c>
      <c r="I35" s="9">
        <f>(D34)*(维护参数!$B$10)</f>
        <v>2100</v>
      </c>
      <c r="J35" s="21"/>
      <c r="K35" s="3" t="s">
        <v>63</v>
      </c>
      <c r="L35" s="16">
        <f>(MAX(维护参数!$B$5,ROUNDUP(J34/10000,0)))*(维护参数!$B$3)</f>
        <v>440</v>
      </c>
      <c r="M35" s="21"/>
      <c r="N35" s="21"/>
      <c r="O35" s="21"/>
      <c r="P35" s="21"/>
      <c r="Q35" s="22"/>
      <c r="R35" s="16">
        <f>SUM(L35,Q34)</f>
        <v>872</v>
      </c>
      <c r="S35" s="18">
        <f t="shared" si="0"/>
        <v>0.415238095238095</v>
      </c>
      <c r="T35" s="16">
        <f t="shared" si="1"/>
        <v>1228</v>
      </c>
      <c r="U35" s="18">
        <f>T35/(D34)</f>
        <v>0.409333333333333</v>
      </c>
      <c r="V35" s="16">
        <f>T35*维护参数!$B$20</f>
        <v>798.2</v>
      </c>
      <c r="W35" s="18">
        <f>V35/(D34)</f>
        <v>0.266066666666667</v>
      </c>
      <c r="X35" s="3"/>
      <c r="Y35" s="3"/>
    </row>
    <row r="36" s="5" customFormat="1" ht="22.5" customHeight="1" spans="1:25">
      <c r="A36" s="3" t="s">
        <v>100</v>
      </c>
      <c r="B36" s="3" t="s">
        <v>80</v>
      </c>
      <c r="C36" s="3" t="s">
        <v>81</v>
      </c>
      <c r="D36" s="9">
        <v>7150</v>
      </c>
      <c r="E36" s="9">
        <f>D36*0.6</f>
        <v>4290</v>
      </c>
      <c r="F36" s="14" t="s">
        <v>57</v>
      </c>
      <c r="G36" s="14" t="s">
        <v>57</v>
      </c>
      <c r="H36" s="3" t="s">
        <v>58</v>
      </c>
      <c r="I36" s="9">
        <f>(E36)*(1)</f>
        <v>4290</v>
      </c>
      <c r="J36" s="15">
        <f>ROUNDUP(D36*维护参数!$B$11/维护参数!$B$12*1000,0)</f>
        <v>190667</v>
      </c>
      <c r="K36" s="3" t="s">
        <v>59</v>
      </c>
      <c r="L36" s="16">
        <f>(MAX(维护参数!$B$4,ROUNDUP(J36/10000,0)))*(维护参数!$B$2)</f>
        <v>420</v>
      </c>
      <c r="M36" s="17">
        <f>ROUNDUP(D36*维护参数!$B$16/维护参数!$B$15/1000,0)*1000</f>
        <v>15000</v>
      </c>
      <c r="N36" s="17">
        <f>ROUNDUP(D36*维护参数!$B$17/维护参数!$B$15/10,0)*10</f>
        <v>150</v>
      </c>
      <c r="O36" s="17">
        <f>ROUNDUP(D36*维护参数!$B$18/维护参数!$B$15/10,0)*10</f>
        <v>150</v>
      </c>
      <c r="P36" s="17">
        <f>ROUNDUP(D36*维护参数!$B$19/维护参数!$B$15/10,0)*10</f>
        <v>220</v>
      </c>
      <c r="Q36" s="16">
        <f>M36/1000*维护参数!$B$6+N36*维护参数!$B$7+O36*维护参数!$B$8+P36*维护参数!$B$9</f>
        <v>1079</v>
      </c>
      <c r="R36" s="16">
        <f>SUM(L36,Q36)</f>
        <v>1499</v>
      </c>
      <c r="S36" s="18">
        <f t="shared" si="0"/>
        <v>0.349417249417249</v>
      </c>
      <c r="T36" s="16">
        <f t="shared" si="1"/>
        <v>2791</v>
      </c>
      <c r="U36" s="18">
        <f>T36/(D36)</f>
        <v>0.39034965034965</v>
      </c>
      <c r="V36" s="16">
        <f>T36*维护参数!$B$20</f>
        <v>1814.15</v>
      </c>
      <c r="W36" s="18">
        <f>V36/(D36)</f>
        <v>0.253727272727273</v>
      </c>
      <c r="X36" s="3" t="s">
        <v>81</v>
      </c>
      <c r="Y36" s="3" t="s">
        <v>101</v>
      </c>
    </row>
    <row r="37" s="5" customFormat="1" ht="22.5" customHeight="1" spans="1:25">
      <c r="A37" s="3"/>
      <c r="B37" s="3"/>
      <c r="C37" s="3"/>
      <c r="D37" s="20"/>
      <c r="E37" s="20"/>
      <c r="F37" s="20"/>
      <c r="G37" s="20"/>
      <c r="H37" s="3" t="s">
        <v>62</v>
      </c>
      <c r="I37" s="9">
        <f>(D36)*(维护参数!$B$10)</f>
        <v>5005</v>
      </c>
      <c r="J37" s="21"/>
      <c r="K37" s="3" t="s">
        <v>63</v>
      </c>
      <c r="L37" s="16">
        <f>(MAX(维护参数!$B$5,ROUNDUP(J36/10000,0)))*(维护参数!$B$3)</f>
        <v>1100</v>
      </c>
      <c r="M37" s="21"/>
      <c r="N37" s="21"/>
      <c r="O37" s="21"/>
      <c r="P37" s="21"/>
      <c r="Q37" s="22"/>
      <c r="R37" s="16">
        <f>SUM(L37,Q36)</f>
        <v>2179</v>
      </c>
      <c r="S37" s="18">
        <f t="shared" si="0"/>
        <v>0.435364635364635</v>
      </c>
      <c r="T37" s="16">
        <f t="shared" si="1"/>
        <v>2826</v>
      </c>
      <c r="U37" s="18">
        <f>T37/(D36)</f>
        <v>0.395244755244755</v>
      </c>
      <c r="V37" s="16">
        <f>T37*维护参数!$B$20</f>
        <v>1836.9</v>
      </c>
      <c r="W37" s="18">
        <f>V37/(D36)</f>
        <v>0.256909090909091</v>
      </c>
      <c r="X37" s="3"/>
      <c r="Y37" s="3"/>
    </row>
    <row r="38" s="5" customFormat="1" ht="22.5" customHeight="1" spans="1:25">
      <c r="A38" s="3" t="s">
        <v>102</v>
      </c>
      <c r="B38" s="3" t="s">
        <v>95</v>
      </c>
      <c r="C38" s="3"/>
      <c r="D38" s="9">
        <v>7000</v>
      </c>
      <c r="E38" s="9">
        <f>D38*0.6</f>
        <v>4200</v>
      </c>
      <c r="F38" s="14" t="s">
        <v>57</v>
      </c>
      <c r="G38" s="14" t="s">
        <v>57</v>
      </c>
      <c r="H38" s="3" t="s">
        <v>58</v>
      </c>
      <c r="I38" s="9">
        <f>(E38)*(1)</f>
        <v>4200</v>
      </c>
      <c r="J38" s="15">
        <f>ROUNDUP(D38*维护参数!$B$11/维护参数!$B$12*1000,0)</f>
        <v>186667</v>
      </c>
      <c r="K38" s="3" t="s">
        <v>59</v>
      </c>
      <c r="L38" s="16">
        <f>(MAX(维护参数!$B$4,ROUNDUP(J38/10000,0)))*(维护参数!$B$2)</f>
        <v>399</v>
      </c>
      <c r="M38" s="17">
        <f>ROUNDUP(D38*维护参数!$B$16/维护参数!$B$15/1000,0)*1000</f>
        <v>14000</v>
      </c>
      <c r="N38" s="17">
        <f>ROUNDUP(D38*维护参数!$B$17/维护参数!$B$15/10,0)*10</f>
        <v>140</v>
      </c>
      <c r="O38" s="17">
        <f>ROUNDUP(D38*维护参数!$B$18/维护参数!$B$15/10,0)*10</f>
        <v>140</v>
      </c>
      <c r="P38" s="17">
        <f>ROUNDUP(D38*维护参数!$B$19/维护参数!$B$15/10,0)*10</f>
        <v>210</v>
      </c>
      <c r="Q38" s="16">
        <f>M38/1000*维护参数!$B$6+N38*维护参数!$B$7+O38*维护参数!$B$8+P38*维护参数!$B$9</f>
        <v>1008</v>
      </c>
      <c r="R38" s="16">
        <f>SUM(L38,Q38)</f>
        <v>1407</v>
      </c>
      <c r="S38" s="18">
        <f t="shared" si="0"/>
        <v>0.335</v>
      </c>
      <c r="T38" s="16">
        <f t="shared" si="1"/>
        <v>2793</v>
      </c>
      <c r="U38" s="18">
        <f>T38/(D38)</f>
        <v>0.399</v>
      </c>
      <c r="V38" s="16">
        <f>T38*维护参数!$B$20</f>
        <v>1815.45</v>
      </c>
      <c r="W38" s="18">
        <f>V38/(D38)</f>
        <v>0.25935</v>
      </c>
      <c r="X38" s="3" t="s">
        <v>103</v>
      </c>
      <c r="Y38" s="3" t="s">
        <v>104</v>
      </c>
    </row>
    <row r="39" s="5" customFormat="1" ht="22.5" customHeight="1" spans="1:25">
      <c r="A39" s="3"/>
      <c r="B39" s="3"/>
      <c r="C39" s="3"/>
      <c r="D39" s="20"/>
      <c r="E39" s="20"/>
      <c r="F39" s="20"/>
      <c r="G39" s="20"/>
      <c r="H39" s="3" t="s">
        <v>62</v>
      </c>
      <c r="I39" s="9">
        <f>(D38)*(维护参数!$B$10)</f>
        <v>4900</v>
      </c>
      <c r="J39" s="21"/>
      <c r="K39" s="3" t="s">
        <v>63</v>
      </c>
      <c r="L39" s="16">
        <f>(MAX(维护参数!$B$5,ROUNDUP(J38/10000,0)))*(维护参数!$B$3)</f>
        <v>1045</v>
      </c>
      <c r="M39" s="21"/>
      <c r="N39" s="21"/>
      <c r="O39" s="21"/>
      <c r="P39" s="21"/>
      <c r="Q39" s="22"/>
      <c r="R39" s="16">
        <f>SUM(L39,Q38)</f>
        <v>2053</v>
      </c>
      <c r="S39" s="18">
        <f t="shared" si="0"/>
        <v>0.418979591836735</v>
      </c>
      <c r="T39" s="16">
        <f t="shared" si="1"/>
        <v>2847</v>
      </c>
      <c r="U39" s="18">
        <f>T39/(D38)</f>
        <v>0.406714285714286</v>
      </c>
      <c r="V39" s="16">
        <f>T39*维护参数!$B$20</f>
        <v>1850.55</v>
      </c>
      <c r="W39" s="18">
        <f>V39/(D38)</f>
        <v>0.264364285714286</v>
      </c>
      <c r="X39" s="3"/>
      <c r="Y39" s="3"/>
    </row>
    <row r="40" s="5" customFormat="1" ht="22.5" customHeight="1" spans="1:25">
      <c r="A40" s="3" t="s">
        <v>105</v>
      </c>
      <c r="B40" s="3" t="s">
        <v>95</v>
      </c>
      <c r="C40" s="3" t="s">
        <v>106</v>
      </c>
      <c r="D40" s="9">
        <v>5500</v>
      </c>
      <c r="E40" s="9">
        <f>D40*0.6</f>
        <v>3300</v>
      </c>
      <c r="F40" s="14" t="s">
        <v>57</v>
      </c>
      <c r="G40" s="14" t="s">
        <v>57</v>
      </c>
      <c r="H40" s="3" t="s">
        <v>58</v>
      </c>
      <c r="I40" s="9">
        <f>(E40)*(1)</f>
        <v>3300</v>
      </c>
      <c r="J40" s="15">
        <f>ROUNDUP(D40*维护参数!$B$11/维护参数!$B$12*1000,0)</f>
        <v>146667</v>
      </c>
      <c r="K40" s="3" t="s">
        <v>59</v>
      </c>
      <c r="L40" s="16">
        <f>(MAX(维护参数!$B$4,ROUNDUP(J40/10000,0)))*(维护参数!$B$2)</f>
        <v>315</v>
      </c>
      <c r="M40" s="17">
        <f>ROUNDUP(D40*维护参数!$B$16/维护参数!$B$15/1000,0)*1000</f>
        <v>11000</v>
      </c>
      <c r="N40" s="17">
        <f>ROUNDUP(D40*维护参数!$B$17/维护参数!$B$15/10,0)*10</f>
        <v>110</v>
      </c>
      <c r="O40" s="17">
        <f>ROUNDUP(D40*维护参数!$B$18/维护参数!$B$15/10,0)*10</f>
        <v>110</v>
      </c>
      <c r="P40" s="17">
        <f>ROUNDUP(D40*维护参数!$B$19/维护参数!$B$15/10,0)*10</f>
        <v>170</v>
      </c>
      <c r="Q40" s="16">
        <f>M40/1000*维护参数!$B$6+N40*维护参数!$B$7+O40*维护参数!$B$8+P40*维护参数!$B$9</f>
        <v>793</v>
      </c>
      <c r="R40" s="16">
        <f>SUM(L40,Q40)</f>
        <v>1108</v>
      </c>
      <c r="S40" s="18">
        <f t="shared" si="0"/>
        <v>0.335757575757576</v>
      </c>
      <c r="T40" s="16">
        <f t="shared" si="1"/>
        <v>2192</v>
      </c>
      <c r="U40" s="18">
        <f>T40/(D40)</f>
        <v>0.398545454545455</v>
      </c>
      <c r="V40" s="16">
        <f>T40*维护参数!$B$20</f>
        <v>1424.8</v>
      </c>
      <c r="W40" s="18">
        <f>V40/(D40)</f>
        <v>0.259054545454545</v>
      </c>
      <c r="X40" s="3" t="s">
        <v>106</v>
      </c>
      <c r="Y40" s="3" t="s">
        <v>107</v>
      </c>
    </row>
    <row r="41" s="5" customFormat="1" ht="22.5" customHeight="1" spans="1:25">
      <c r="A41" s="3"/>
      <c r="B41" s="3"/>
      <c r="C41" s="3"/>
      <c r="D41" s="20"/>
      <c r="E41" s="20"/>
      <c r="F41" s="20"/>
      <c r="G41" s="20"/>
      <c r="H41" s="3" t="s">
        <v>62</v>
      </c>
      <c r="I41" s="9">
        <f>(D40)*(维护参数!$B$10)</f>
        <v>3850</v>
      </c>
      <c r="J41" s="21"/>
      <c r="K41" s="3" t="s">
        <v>63</v>
      </c>
      <c r="L41" s="16">
        <f>(MAX(维护参数!$B$5,ROUNDUP(J40/10000,0)))*(维护参数!$B$3)</f>
        <v>825</v>
      </c>
      <c r="M41" s="21"/>
      <c r="N41" s="21"/>
      <c r="O41" s="21"/>
      <c r="P41" s="21"/>
      <c r="Q41" s="22"/>
      <c r="R41" s="16">
        <f>SUM(L41,Q40)</f>
        <v>1618</v>
      </c>
      <c r="S41" s="18">
        <f t="shared" si="0"/>
        <v>0.42025974025974</v>
      </c>
      <c r="T41" s="16">
        <f t="shared" si="1"/>
        <v>2232</v>
      </c>
      <c r="U41" s="18">
        <f>T41/(D40)</f>
        <v>0.405818181818182</v>
      </c>
      <c r="V41" s="16">
        <f>T41*维护参数!$B$20</f>
        <v>1450.8</v>
      </c>
      <c r="W41" s="18">
        <f>V41/(D40)</f>
        <v>0.263781818181818</v>
      </c>
      <c r="X41" s="3"/>
      <c r="Y41" s="3"/>
    </row>
    <row r="42" s="5" customFormat="1" ht="22.5" customHeight="1" spans="1:25">
      <c r="A42" s="3" t="s">
        <v>108</v>
      </c>
      <c r="B42" s="3" t="s">
        <v>71</v>
      </c>
      <c r="C42" s="3" t="s">
        <v>106</v>
      </c>
      <c r="D42" s="9">
        <v>5000</v>
      </c>
      <c r="E42" s="9">
        <f>D42*0.6</f>
        <v>3000</v>
      </c>
      <c r="F42" s="14" t="s">
        <v>57</v>
      </c>
      <c r="G42" s="14" t="s">
        <v>57</v>
      </c>
      <c r="H42" s="3" t="s">
        <v>58</v>
      </c>
      <c r="I42" s="9">
        <f>(E42)*(1)</f>
        <v>3000</v>
      </c>
      <c r="J42" s="15">
        <f>ROUNDUP(D42*维护参数!$B$11/维护参数!$B$12*1000,0)</f>
        <v>133334</v>
      </c>
      <c r="K42" s="3" t="s">
        <v>59</v>
      </c>
      <c r="L42" s="16">
        <f>(MAX(维护参数!$B$4,ROUNDUP(J42/10000,0)))*(维护参数!$B$2)</f>
        <v>294</v>
      </c>
      <c r="M42" s="17">
        <f>ROUNDUP(D42*维护参数!$B$16/维护参数!$B$15/1000,0)*1000</f>
        <v>10000</v>
      </c>
      <c r="N42" s="17">
        <f>ROUNDUP(D42*维护参数!$B$17/维护参数!$B$15/10,0)*10</f>
        <v>100</v>
      </c>
      <c r="O42" s="17">
        <f>ROUNDUP(D42*维护参数!$B$18/维护参数!$B$15/10,0)*10</f>
        <v>100</v>
      </c>
      <c r="P42" s="17">
        <f>ROUNDUP(D42*维护参数!$B$19/维护参数!$B$15/10,0)*10</f>
        <v>150</v>
      </c>
      <c r="Q42" s="16">
        <f>M42/1000*维护参数!$B$6+N42*维护参数!$B$7+O42*维护参数!$B$8+P42*维护参数!$B$9</f>
        <v>720</v>
      </c>
      <c r="R42" s="16">
        <f>SUM(L42,Q42)</f>
        <v>1014</v>
      </c>
      <c r="S42" s="18">
        <f t="shared" si="0"/>
        <v>0.338</v>
      </c>
      <c r="T42" s="16">
        <f t="shared" si="1"/>
        <v>1986</v>
      </c>
      <c r="U42" s="18">
        <f>T42/(D42)</f>
        <v>0.3972</v>
      </c>
      <c r="V42" s="16">
        <f>T42*维护参数!$B$20</f>
        <v>1290.9</v>
      </c>
      <c r="W42" s="18">
        <f>V42/(D42)</f>
        <v>0.25818</v>
      </c>
      <c r="X42" s="3" t="s">
        <v>106</v>
      </c>
      <c r="Y42" s="3" t="s">
        <v>109</v>
      </c>
    </row>
    <row r="43" s="5" customFormat="1" ht="22.5" customHeight="1" spans="1:25">
      <c r="A43" s="3"/>
      <c r="B43" s="3"/>
      <c r="C43" s="3"/>
      <c r="D43" s="20"/>
      <c r="E43" s="20"/>
      <c r="F43" s="20"/>
      <c r="G43" s="20"/>
      <c r="H43" s="3" t="s">
        <v>62</v>
      </c>
      <c r="I43" s="9">
        <f>(D42)*(维护参数!$B$10)</f>
        <v>3500</v>
      </c>
      <c r="J43" s="21"/>
      <c r="K43" s="3" t="s">
        <v>63</v>
      </c>
      <c r="L43" s="16">
        <f>(MAX(维护参数!$B$5,ROUNDUP(J42/10000,0)))*(维护参数!$B$3)</f>
        <v>770</v>
      </c>
      <c r="M43" s="21"/>
      <c r="N43" s="21"/>
      <c r="O43" s="21"/>
      <c r="P43" s="21"/>
      <c r="Q43" s="22"/>
      <c r="R43" s="16">
        <f>SUM(L43,Q42)</f>
        <v>1490</v>
      </c>
      <c r="S43" s="18">
        <f t="shared" si="0"/>
        <v>0.425714285714286</v>
      </c>
      <c r="T43" s="16">
        <f t="shared" si="1"/>
        <v>2010</v>
      </c>
      <c r="U43" s="18">
        <f>T43/(D42)</f>
        <v>0.402</v>
      </c>
      <c r="V43" s="16">
        <f>T43*维护参数!$B$20</f>
        <v>1306.5</v>
      </c>
      <c r="W43" s="18">
        <f>V43/(D42)</f>
        <v>0.2613</v>
      </c>
      <c r="X43" s="3"/>
      <c r="Y43" s="3"/>
    </row>
    <row r="44" s="5" customFormat="1" ht="22.5" customHeight="1" spans="1:25">
      <c r="A44" s="3" t="s">
        <v>110</v>
      </c>
      <c r="B44" s="3" t="s">
        <v>71</v>
      </c>
      <c r="C44" s="3" t="s">
        <v>106</v>
      </c>
      <c r="D44" s="9">
        <v>5000</v>
      </c>
      <c r="E44" s="9">
        <f>D44*0.6</f>
        <v>3000</v>
      </c>
      <c r="F44" s="14" t="s">
        <v>57</v>
      </c>
      <c r="G44" s="14" t="s">
        <v>57</v>
      </c>
      <c r="H44" s="3" t="s">
        <v>58</v>
      </c>
      <c r="I44" s="9">
        <f>(E44)*(1)</f>
        <v>3000</v>
      </c>
      <c r="J44" s="15">
        <f>ROUNDUP(D44*维护参数!$B$11/维护参数!$B$12*1000,0)</f>
        <v>133334</v>
      </c>
      <c r="K44" s="3" t="s">
        <v>59</v>
      </c>
      <c r="L44" s="16">
        <f>(MAX(维护参数!$B$4,ROUNDUP(J44/10000,0)))*(维护参数!$B$2)</f>
        <v>294</v>
      </c>
      <c r="M44" s="17">
        <f>ROUNDUP(D44*维护参数!$B$16/维护参数!$B$15/1000,0)*1000</f>
        <v>10000</v>
      </c>
      <c r="N44" s="17">
        <f>ROUNDUP(D44*维护参数!$B$17/维护参数!$B$15/10,0)*10</f>
        <v>100</v>
      </c>
      <c r="O44" s="17">
        <f>ROUNDUP(D44*维护参数!$B$18/维护参数!$B$15/10,0)*10</f>
        <v>100</v>
      </c>
      <c r="P44" s="17">
        <f>ROUNDUP(D44*维护参数!$B$19/维护参数!$B$15/10,0)*10</f>
        <v>150</v>
      </c>
      <c r="Q44" s="16">
        <f>M44/1000*维护参数!$B$6+N44*维护参数!$B$7+O44*维护参数!$B$8+P44*维护参数!$B$9</f>
        <v>720</v>
      </c>
      <c r="R44" s="16">
        <f>SUM(L44,Q44)</f>
        <v>1014</v>
      </c>
      <c r="S44" s="18">
        <f t="shared" si="0"/>
        <v>0.338</v>
      </c>
      <c r="T44" s="16">
        <f t="shared" si="1"/>
        <v>1986</v>
      </c>
      <c r="U44" s="18">
        <f>T44/(D44)</f>
        <v>0.3972</v>
      </c>
      <c r="V44" s="16">
        <f>T44*维护参数!$B$20</f>
        <v>1290.9</v>
      </c>
      <c r="W44" s="18">
        <f>V44/(D44)</f>
        <v>0.25818</v>
      </c>
      <c r="X44" s="3" t="s">
        <v>106</v>
      </c>
      <c r="Y44" s="3" t="s">
        <v>111</v>
      </c>
    </row>
    <row r="45" s="5" customFormat="1" ht="22.5" customHeight="1" spans="1:25">
      <c r="A45" s="3"/>
      <c r="B45" s="3"/>
      <c r="C45" s="3"/>
      <c r="D45" s="20"/>
      <c r="E45" s="20"/>
      <c r="F45" s="20"/>
      <c r="G45" s="20"/>
      <c r="H45" s="3" t="s">
        <v>62</v>
      </c>
      <c r="I45" s="9">
        <f>(D44)*(维护参数!$B$10)</f>
        <v>3500</v>
      </c>
      <c r="J45" s="21"/>
      <c r="K45" s="3" t="s">
        <v>63</v>
      </c>
      <c r="L45" s="16">
        <f>(MAX(维护参数!$B$5,ROUNDUP(J44/10000,0)))*(维护参数!$B$3)</f>
        <v>770</v>
      </c>
      <c r="M45" s="21"/>
      <c r="N45" s="21"/>
      <c r="O45" s="21"/>
      <c r="P45" s="21"/>
      <c r="Q45" s="22"/>
      <c r="R45" s="16">
        <f>SUM(L45,Q44)</f>
        <v>1490</v>
      </c>
      <c r="S45" s="18">
        <f t="shared" si="0"/>
        <v>0.425714285714286</v>
      </c>
      <c r="T45" s="16">
        <f t="shared" si="1"/>
        <v>2010</v>
      </c>
      <c r="U45" s="18">
        <f>T45/(D44)</f>
        <v>0.402</v>
      </c>
      <c r="V45" s="16">
        <f>T45*维护参数!$B$20</f>
        <v>1306.5</v>
      </c>
      <c r="W45" s="18">
        <f>V45/(D44)</f>
        <v>0.2613</v>
      </c>
      <c r="X45" s="3"/>
      <c r="Y45" s="3"/>
    </row>
    <row r="46" s="5" customFormat="1" ht="22.5" customHeight="1" spans="1:25">
      <c r="A46" s="3" t="s">
        <v>112</v>
      </c>
      <c r="B46" s="3" t="s">
        <v>71</v>
      </c>
      <c r="C46" s="3" t="s">
        <v>106</v>
      </c>
      <c r="D46" s="9">
        <v>5000</v>
      </c>
      <c r="E46" s="9">
        <f>D46*0.6</f>
        <v>3000</v>
      </c>
      <c r="F46" s="14" t="s">
        <v>57</v>
      </c>
      <c r="G46" s="14" t="s">
        <v>57</v>
      </c>
      <c r="H46" s="3" t="s">
        <v>58</v>
      </c>
      <c r="I46" s="9">
        <f>(E46)*(1)</f>
        <v>3000</v>
      </c>
      <c r="J46" s="15">
        <f>ROUNDUP(D46*维护参数!$B$11/维护参数!$B$12*1000,0)</f>
        <v>133334</v>
      </c>
      <c r="K46" s="3" t="s">
        <v>59</v>
      </c>
      <c r="L46" s="16">
        <f>(MAX(维护参数!$B$4,ROUNDUP(J46/10000,0)))*(维护参数!$B$2)</f>
        <v>294</v>
      </c>
      <c r="M46" s="17">
        <f>ROUNDUP(D46*维护参数!$B$16/维护参数!$B$15/1000,0)*1000</f>
        <v>10000</v>
      </c>
      <c r="N46" s="17">
        <f>ROUNDUP(D46*维护参数!$B$17/维护参数!$B$15/10,0)*10</f>
        <v>100</v>
      </c>
      <c r="O46" s="17">
        <f>ROUNDUP(D46*维护参数!$B$18/维护参数!$B$15/10,0)*10</f>
        <v>100</v>
      </c>
      <c r="P46" s="17">
        <f>ROUNDUP(D46*维护参数!$B$19/维护参数!$B$15/10,0)*10</f>
        <v>150</v>
      </c>
      <c r="Q46" s="16">
        <f>M46/1000*维护参数!$B$6+N46*维护参数!$B$7+O46*维护参数!$B$8+P46*维护参数!$B$9</f>
        <v>720</v>
      </c>
      <c r="R46" s="16">
        <f>SUM(L46,Q46)</f>
        <v>1014</v>
      </c>
      <c r="S46" s="18">
        <f t="shared" si="0"/>
        <v>0.338</v>
      </c>
      <c r="T46" s="16">
        <f t="shared" si="1"/>
        <v>1986</v>
      </c>
      <c r="U46" s="18">
        <f>T46/(D46)</f>
        <v>0.3972</v>
      </c>
      <c r="V46" s="16">
        <f>T46*维护参数!$B$20</f>
        <v>1290.9</v>
      </c>
      <c r="W46" s="18">
        <f>V46/(D46)</f>
        <v>0.25818</v>
      </c>
      <c r="X46" s="3" t="s">
        <v>106</v>
      </c>
      <c r="Y46" s="3" t="s">
        <v>113</v>
      </c>
    </row>
    <row r="47" s="5" customFormat="1" ht="22.5" customHeight="1" spans="1:25">
      <c r="A47" s="3"/>
      <c r="B47" s="3"/>
      <c r="C47" s="3"/>
      <c r="D47" s="20"/>
      <c r="E47" s="20"/>
      <c r="F47" s="20"/>
      <c r="G47" s="20"/>
      <c r="H47" s="3" t="s">
        <v>62</v>
      </c>
      <c r="I47" s="9">
        <f>(D46)*(维护参数!$B$10)</f>
        <v>3500</v>
      </c>
      <c r="J47" s="21"/>
      <c r="K47" s="3" t="s">
        <v>63</v>
      </c>
      <c r="L47" s="16">
        <f>(MAX(维护参数!$B$5,ROUNDUP(J46/10000,0)))*(维护参数!$B$3)</f>
        <v>770</v>
      </c>
      <c r="M47" s="21"/>
      <c r="N47" s="21"/>
      <c r="O47" s="21"/>
      <c r="P47" s="21"/>
      <c r="Q47" s="22"/>
      <c r="R47" s="16">
        <f>SUM(L47,Q46)</f>
        <v>1490</v>
      </c>
      <c r="S47" s="18">
        <f t="shared" si="0"/>
        <v>0.425714285714286</v>
      </c>
      <c r="T47" s="16">
        <f t="shared" si="1"/>
        <v>2010</v>
      </c>
      <c r="U47" s="18">
        <f>T47/(D46)</f>
        <v>0.402</v>
      </c>
      <c r="V47" s="16">
        <f>T47*维护参数!$B$20</f>
        <v>1306.5</v>
      </c>
      <c r="W47" s="18">
        <f>V47/(D46)</f>
        <v>0.2613</v>
      </c>
      <c r="X47" s="3"/>
      <c r="Y47" s="3"/>
    </row>
    <row r="48" s="5" customFormat="1" ht="22.5" customHeight="1" spans="1:25">
      <c r="A48" s="3" t="s">
        <v>114</v>
      </c>
      <c r="B48" s="3" t="s">
        <v>71</v>
      </c>
      <c r="C48" s="3" t="s">
        <v>115</v>
      </c>
      <c r="D48" s="9">
        <v>7800</v>
      </c>
      <c r="E48" s="9">
        <f>D48*0.6</f>
        <v>4680</v>
      </c>
      <c r="F48" s="14" t="s">
        <v>57</v>
      </c>
      <c r="G48" s="14" t="s">
        <v>57</v>
      </c>
      <c r="H48" s="3" t="s">
        <v>58</v>
      </c>
      <c r="I48" s="9">
        <f>(E48)*(1)</f>
        <v>4680</v>
      </c>
      <c r="J48" s="15">
        <f>ROUNDUP(D48*维护参数!$B$11/维护参数!$B$12*1000,0)</f>
        <v>208000</v>
      </c>
      <c r="K48" s="3" t="s">
        <v>59</v>
      </c>
      <c r="L48" s="16">
        <f>(MAX(维护参数!$B$4,ROUNDUP(J48/10000,0)))*(维护参数!$B$2)</f>
        <v>441</v>
      </c>
      <c r="M48" s="17">
        <f>ROUNDUP(D48*维护参数!$B$16/维护参数!$B$15/1000,0)*1000</f>
        <v>16000</v>
      </c>
      <c r="N48" s="17">
        <f>ROUNDUP(D48*维护参数!$B$17/维护参数!$B$15/10,0)*10</f>
        <v>160</v>
      </c>
      <c r="O48" s="17">
        <f>ROUNDUP(D48*维护参数!$B$18/维护参数!$B$15/10,0)*10</f>
        <v>160</v>
      </c>
      <c r="P48" s="17">
        <f>ROUNDUP(D48*维护参数!$B$19/维护参数!$B$15/10,0)*10</f>
        <v>240</v>
      </c>
      <c r="Q48" s="16">
        <f>M48/1000*维护参数!$B$6+N48*维护参数!$B$7+O48*维护参数!$B$8+P48*维护参数!$B$9</f>
        <v>1152</v>
      </c>
      <c r="R48" s="16">
        <f>SUM(L48,Q48)</f>
        <v>1593</v>
      </c>
      <c r="S48" s="18">
        <f t="shared" si="0"/>
        <v>0.340384615384615</v>
      </c>
      <c r="T48" s="16">
        <f t="shared" si="1"/>
        <v>3087</v>
      </c>
      <c r="U48" s="18">
        <f>T48/(D48)</f>
        <v>0.395769230769231</v>
      </c>
      <c r="V48" s="16">
        <f>T48*维护参数!$B$20</f>
        <v>2006.55</v>
      </c>
      <c r="W48" s="18">
        <f>V48/(D48)</f>
        <v>0.25725</v>
      </c>
      <c r="X48" s="3" t="s">
        <v>115</v>
      </c>
      <c r="Y48" s="3" t="s">
        <v>116</v>
      </c>
    </row>
    <row r="49" s="5" customFormat="1" ht="22.5" customHeight="1" spans="1:25">
      <c r="A49" s="3"/>
      <c r="B49" s="3"/>
      <c r="C49" s="3"/>
      <c r="D49" s="20"/>
      <c r="E49" s="20"/>
      <c r="F49" s="20"/>
      <c r="G49" s="20"/>
      <c r="H49" s="3" t="s">
        <v>62</v>
      </c>
      <c r="I49" s="9">
        <f>(D48)*(维护参数!$B$10)</f>
        <v>5460</v>
      </c>
      <c r="J49" s="21"/>
      <c r="K49" s="3" t="s">
        <v>63</v>
      </c>
      <c r="L49" s="16">
        <f>(MAX(维护参数!$B$5,ROUNDUP(J48/10000,0)))*(维护参数!$B$3)</f>
        <v>1155</v>
      </c>
      <c r="M49" s="21"/>
      <c r="N49" s="21"/>
      <c r="O49" s="21"/>
      <c r="P49" s="21"/>
      <c r="Q49" s="22"/>
      <c r="R49" s="16">
        <f>SUM(L49,Q48)</f>
        <v>2307</v>
      </c>
      <c r="S49" s="18">
        <f t="shared" si="0"/>
        <v>0.422527472527473</v>
      </c>
      <c r="T49" s="16">
        <f t="shared" si="1"/>
        <v>3153</v>
      </c>
      <c r="U49" s="18">
        <f>T49/(D48)</f>
        <v>0.404230769230769</v>
      </c>
      <c r="V49" s="16">
        <f>T49*维护参数!$B$20</f>
        <v>2049.45</v>
      </c>
      <c r="W49" s="18">
        <f>V49/(D48)</f>
        <v>0.26275</v>
      </c>
      <c r="X49" s="3"/>
      <c r="Y49" s="3"/>
    </row>
    <row r="50" s="5" customFormat="1" ht="22.5" customHeight="1" spans="1:25">
      <c r="A50" s="3" t="s">
        <v>117</v>
      </c>
      <c r="B50" s="3" t="s">
        <v>95</v>
      </c>
      <c r="C50" s="3" t="s">
        <v>115</v>
      </c>
      <c r="D50" s="9">
        <v>7400</v>
      </c>
      <c r="E50" s="9">
        <f>D50*0.6</f>
        <v>4440</v>
      </c>
      <c r="F50" s="14" t="s">
        <v>57</v>
      </c>
      <c r="G50" s="14" t="s">
        <v>57</v>
      </c>
      <c r="H50" s="3" t="s">
        <v>58</v>
      </c>
      <c r="I50" s="9">
        <f>(E50)*(1)</f>
        <v>4440</v>
      </c>
      <c r="J50" s="15">
        <f>ROUNDUP(D50*维护参数!$B$11/维护参数!$B$12*1000,0)</f>
        <v>197334</v>
      </c>
      <c r="K50" s="3" t="s">
        <v>59</v>
      </c>
      <c r="L50" s="16">
        <f>(MAX(维护参数!$B$4,ROUNDUP(J50/10000,0)))*(维护参数!$B$2)</f>
        <v>420</v>
      </c>
      <c r="M50" s="17">
        <f>ROUNDUP(D50*维护参数!$B$16/维护参数!$B$15/1000,0)*1000</f>
        <v>15000</v>
      </c>
      <c r="N50" s="17">
        <f>ROUNDUP(D50*维护参数!$B$17/维护参数!$B$15/10,0)*10</f>
        <v>150</v>
      </c>
      <c r="O50" s="17">
        <f>ROUNDUP(D50*维护参数!$B$18/维护参数!$B$15/10,0)*10</f>
        <v>150</v>
      </c>
      <c r="P50" s="17">
        <f>ROUNDUP(D50*维护参数!$B$19/维护参数!$B$15/10,0)*10</f>
        <v>230</v>
      </c>
      <c r="Q50" s="16">
        <f>M50/1000*维护参数!$B$6+N50*维护参数!$B$7+O50*维护参数!$B$8+P50*维护参数!$B$9</f>
        <v>1081</v>
      </c>
      <c r="R50" s="16">
        <f>SUM(L50,Q50)</f>
        <v>1501</v>
      </c>
      <c r="S50" s="18">
        <f t="shared" si="0"/>
        <v>0.338063063063063</v>
      </c>
      <c r="T50" s="16">
        <f t="shared" si="1"/>
        <v>2939</v>
      </c>
      <c r="U50" s="18">
        <f>T50/(D50)</f>
        <v>0.397162162162162</v>
      </c>
      <c r="V50" s="16">
        <f>T50*维护参数!$B$20</f>
        <v>1910.35</v>
      </c>
      <c r="W50" s="18">
        <f>V50/(D50)</f>
        <v>0.258155405405405</v>
      </c>
      <c r="X50" s="3" t="s">
        <v>115</v>
      </c>
      <c r="Y50" s="3" t="s">
        <v>118</v>
      </c>
    </row>
    <row r="51" s="5" customFormat="1" ht="22.5" customHeight="1" spans="1:25">
      <c r="A51" s="3"/>
      <c r="B51" s="3"/>
      <c r="C51" s="3"/>
      <c r="D51" s="20"/>
      <c r="E51" s="20"/>
      <c r="F51" s="20"/>
      <c r="G51" s="20"/>
      <c r="H51" s="3" t="s">
        <v>62</v>
      </c>
      <c r="I51" s="9">
        <f>(D50)*(维护参数!$B$10)</f>
        <v>5180</v>
      </c>
      <c r="J51" s="21"/>
      <c r="K51" s="3" t="s">
        <v>63</v>
      </c>
      <c r="L51" s="16">
        <f>(MAX(维护参数!$B$5,ROUNDUP(J50/10000,0)))*(维护参数!$B$3)</f>
        <v>1100</v>
      </c>
      <c r="M51" s="21"/>
      <c r="N51" s="21"/>
      <c r="O51" s="21"/>
      <c r="P51" s="21"/>
      <c r="Q51" s="22"/>
      <c r="R51" s="16">
        <f>SUM(L51,Q50)</f>
        <v>2181</v>
      </c>
      <c r="S51" s="18">
        <f t="shared" si="0"/>
        <v>0.421042471042471</v>
      </c>
      <c r="T51" s="16">
        <f t="shared" si="1"/>
        <v>2999</v>
      </c>
      <c r="U51" s="18">
        <f>T51/(D50)</f>
        <v>0.40527027027027</v>
      </c>
      <c r="V51" s="16">
        <f>T51*维护参数!$B$20</f>
        <v>1949.35</v>
      </c>
      <c r="W51" s="18">
        <f>V51/(D50)</f>
        <v>0.263425675675676</v>
      </c>
      <c r="X51" s="3"/>
      <c r="Y51" s="3"/>
    </row>
    <row r="52" s="5" customFormat="1" ht="22.5" customHeight="1" spans="1:25">
      <c r="A52" s="3" t="s">
        <v>119</v>
      </c>
      <c r="B52" s="3" t="s">
        <v>71</v>
      </c>
      <c r="C52" s="3" t="s">
        <v>115</v>
      </c>
      <c r="D52" s="9">
        <v>5000</v>
      </c>
      <c r="E52" s="9">
        <f>D52*0.6</f>
        <v>3000</v>
      </c>
      <c r="F52" s="14" t="s">
        <v>57</v>
      </c>
      <c r="G52" s="14" t="s">
        <v>57</v>
      </c>
      <c r="H52" s="3" t="s">
        <v>58</v>
      </c>
      <c r="I52" s="9">
        <f>(E52)*(1)</f>
        <v>3000</v>
      </c>
      <c r="J52" s="15">
        <f>ROUNDUP(D52*维护参数!$B$11/维护参数!$B$12*1000,0)</f>
        <v>133334</v>
      </c>
      <c r="K52" s="3" t="s">
        <v>59</v>
      </c>
      <c r="L52" s="16">
        <f>(MAX(维护参数!$B$4,ROUNDUP(J52/10000,0)))*(维护参数!$B$2)</f>
        <v>294</v>
      </c>
      <c r="M52" s="17">
        <f>ROUNDUP(D52*维护参数!$B$16/维护参数!$B$15/1000,0)*1000</f>
        <v>10000</v>
      </c>
      <c r="N52" s="17">
        <f>ROUNDUP(D52*维护参数!$B$17/维护参数!$B$15/10,0)*10</f>
        <v>100</v>
      </c>
      <c r="O52" s="17">
        <f>ROUNDUP(D52*维护参数!$B$18/维护参数!$B$15/10,0)*10</f>
        <v>100</v>
      </c>
      <c r="P52" s="17">
        <f>ROUNDUP(D52*维护参数!$B$19/维护参数!$B$15/10,0)*10</f>
        <v>150</v>
      </c>
      <c r="Q52" s="16">
        <f>M52/1000*维护参数!$B$6+N52*维护参数!$B$7+O52*维护参数!$B$8+P52*维护参数!$B$9</f>
        <v>720</v>
      </c>
      <c r="R52" s="16">
        <f>SUM(L52,Q52)</f>
        <v>1014</v>
      </c>
      <c r="S52" s="18">
        <f t="shared" si="0"/>
        <v>0.338</v>
      </c>
      <c r="T52" s="16">
        <f t="shared" si="1"/>
        <v>1986</v>
      </c>
      <c r="U52" s="18">
        <f>T52/(D52)</f>
        <v>0.3972</v>
      </c>
      <c r="V52" s="16">
        <f>T52*维护参数!$B$20</f>
        <v>1290.9</v>
      </c>
      <c r="W52" s="18">
        <f>V52/(D52)</f>
        <v>0.25818</v>
      </c>
      <c r="X52" s="3" t="s">
        <v>115</v>
      </c>
      <c r="Y52" s="3" t="s">
        <v>120</v>
      </c>
    </row>
    <row r="53" s="5" customFormat="1" ht="22.5" customHeight="1" spans="1:25">
      <c r="A53" s="3"/>
      <c r="B53" s="3"/>
      <c r="C53" s="3"/>
      <c r="D53" s="20"/>
      <c r="E53" s="20"/>
      <c r="F53" s="20"/>
      <c r="G53" s="20"/>
      <c r="H53" s="3" t="s">
        <v>62</v>
      </c>
      <c r="I53" s="9">
        <f>(D52)*(维护参数!$B$10)</f>
        <v>3500</v>
      </c>
      <c r="J53" s="21"/>
      <c r="K53" s="3" t="s">
        <v>63</v>
      </c>
      <c r="L53" s="16">
        <f>(MAX(维护参数!$B$5,ROUNDUP(J52/10000,0)))*(维护参数!$B$3)</f>
        <v>770</v>
      </c>
      <c r="M53" s="21"/>
      <c r="N53" s="21"/>
      <c r="O53" s="21"/>
      <c r="P53" s="21"/>
      <c r="Q53" s="22"/>
      <c r="R53" s="16">
        <f>SUM(L53,Q52)</f>
        <v>1490</v>
      </c>
      <c r="S53" s="18">
        <f t="shared" si="0"/>
        <v>0.425714285714286</v>
      </c>
      <c r="T53" s="16">
        <f t="shared" si="1"/>
        <v>2010</v>
      </c>
      <c r="U53" s="18">
        <f>T53/(D52)</f>
        <v>0.402</v>
      </c>
      <c r="V53" s="16">
        <f>T53*维护参数!$B$20</f>
        <v>1306.5</v>
      </c>
      <c r="W53" s="18">
        <f>V53/(D52)</f>
        <v>0.2613</v>
      </c>
      <c r="X53" s="3"/>
      <c r="Y53" s="3"/>
    </row>
  </sheetData>
  <autoFilter xmlns:etc="http://www.wps.cn/officeDocument/2017/etCustomData" ref="A9:Y55" etc:filterBottomFollowUsedRange="0">
    <extLst/>
  </autoFilter>
  <mergeCells count="332">
    <mergeCell ref="A1:Y1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Q52:Q53"/>
    <mergeCell ref="X10:X11"/>
    <mergeCell ref="X12:X13"/>
    <mergeCell ref="X14:X15"/>
    <mergeCell ref="X16:X17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X38:X39"/>
    <mergeCell ref="X40:X41"/>
    <mergeCell ref="X42:X43"/>
    <mergeCell ref="X44:X45"/>
    <mergeCell ref="X46:X47"/>
    <mergeCell ref="X48:X49"/>
    <mergeCell ref="X50:X51"/>
    <mergeCell ref="X52:X53"/>
    <mergeCell ref="Y10:Y11"/>
    <mergeCell ref="Y12:Y13"/>
    <mergeCell ref="Y14:Y15"/>
    <mergeCell ref="Y16:Y1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Y38:Y39"/>
    <mergeCell ref="Y40:Y41"/>
    <mergeCell ref="Y42:Y43"/>
    <mergeCell ref="Y44:Y45"/>
    <mergeCell ref="Y46:Y47"/>
    <mergeCell ref="Y48:Y49"/>
    <mergeCell ref="Y50:Y51"/>
    <mergeCell ref="Y52:Y53"/>
    <mergeCell ref="A2:Y8"/>
  </mergeCells>
  <hyperlinks>
    <hyperlink ref="Y10" r:id="rId1" display="https://v.douyin.com/dcP3cOC30h4/"/>
    <hyperlink ref="Y12" r:id="rId2" display="https://v.douyin.com/SAEJqgoPkrY/"/>
    <hyperlink ref="Y14" r:id="rId3" display="https://v.douyin.com/DcH2brXPgvc/"/>
    <hyperlink ref="Y16" r:id="rId4" display="https://v.douyin.com/38Scd6JrG_s/"/>
    <hyperlink ref="Y18" r:id="rId5" display="https://v.douyin.com/JmcvjVd/"/>
    <hyperlink ref="Y20" r:id="rId6" display="https://v.douyin.com/JmcXQpY/"/>
    <hyperlink ref="Y22" r:id="rId7" display="https://www.douyin.com/user/MS4wLjABAAAAJfqON1LDmWBPlUXvQ-iwZ6AZLbLuIj72uGiFUuot89k"/>
    <hyperlink ref="Y24" r:id="rId8" display="https://v.douyin.com/JJ3p572/"/>
    <hyperlink ref="Y26" r:id="rId9" display="https://v.douyin.com/ihb6eF8j/"/>
    <hyperlink ref="Y28" r:id="rId10" display=" https://v.douyin.com/jTKED_9fV4A/"/>
    <hyperlink ref="Y30" r:id="rId11" display="https://www.douyin.com/user/MS4wLjABAAAAbRgpD5qO5M7mlI-ALMWDbsqjwiSeFC1WxNPKVgjsSCbFam1N0thGyVDw-PfRjICt"/>
    <hyperlink ref="Y32" r:id="rId12" display="https://v.douyin.com/mFA-j2xaAJY/"/>
    <hyperlink ref="Y34" r:id="rId13" display="https://v.douyin.com/lIhi6TchbPw/"/>
    <hyperlink ref="Y36" r:id="rId14" display="https://v.douyin.com/ettSTTldPIc/"/>
    <hyperlink ref="Y38" r:id="rId15" display="https://v.douyin.com/Vva749Cn4Fk/"/>
    <hyperlink ref="Y40" r:id="rId16" display="https://v.douyin.com/iSUabqnS/"/>
    <hyperlink ref="Y42" r:id="rId17" display="https://v.douyin.com/wq_9XvcbfS0/"/>
    <hyperlink ref="Y44" r:id="rId18" display="https://v.douyin.com/jTTVNutNIRQ/"/>
    <hyperlink ref="Y46" r:id="rId19" display="https://v.douyin.com/c2M4VXTdIvM/"/>
    <hyperlink ref="Y48" r:id="rId20" display="https://v.douyin.com/2hO1tem8Xhg/"/>
    <hyperlink ref="Y50" r:id="rId21" display="https://v.douyin.com/m8vFSRuq1co/"/>
    <hyperlink ref="Y52" r:id="rId22" display="https://v.douyin.com/dO7_tPj7Mgo/ "/>
  </hyperlinks>
  <pageMargins left="0.7" right="0.7" top="0.75" bottom="0.75" header="0.3" footer="0.3"/>
  <headerFooter/>
  <ignoredErrors>
    <ignoredError sqref="Y37 H37:W37 D35:D37 H36:W36 E36 A36 Y35 H35:W35 K34:W34 H34:I34 E34 A34 Y33 H33:W33 D33 K32:W32 H32:I32 E32 A32 Y31 H31:W31 D15:D31 M30:W30 K14:K30 H30:I30 E30 A30 Y29 L29:W29 H29:J29 L28:W28 H28:J28 E28 A28 Y27 L27:W27 H27:J27 L26:W26 H26:J26 E26 A26 Y25 L25:W25 H25:J25 L24:W24 H24:J24 E24 A24 Y23 L23:W23 H23:J23 N22:W22 L14:L22 H22:J22 E22 A22 Y21 M21:W21 H21:J21 M20:W20 H20:J20 E20 A20 Y19 M19:W19 H19:J19 N18:W18 H18:J18 A18 Y17 W16:W17 M17:T17 H17:J17 V15:V16 M16:T16 H16:J16 E15:E16 A14:A16 Y15 M15:T15 J15 H14:H15 R14:T14 N14:P14 I14 Y9 V9:W9 Q9:T9 K9:L9 H9:I9 D9:E9 A9 Y1 H1:W1 D1:E1 A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showGridLines="0" tabSelected="1" workbookViewId="0">
      <selection activeCell="E19" sqref="E19"/>
    </sheetView>
  </sheetViews>
  <sheetFormatPr defaultColWidth="9" defaultRowHeight="15.2"/>
  <cols>
    <col min="1" max="1" width="24" customWidth="1"/>
    <col min="2" max="2" width="12" customWidth="1"/>
    <col min="3" max="3" width="44" customWidth="1"/>
  </cols>
  <sheetData>
    <row r="1" ht="30" customHeight="1" spans="1:3">
      <c r="A1" s="1" t="s">
        <v>136</v>
      </c>
      <c r="B1" s="1" t="s">
        <v>137</v>
      </c>
      <c r="C1" s="1" t="s">
        <v>138</v>
      </c>
    </row>
    <row r="2" ht="24" customHeight="1" spans="1:3">
      <c r="A2" s="2" t="s">
        <v>139</v>
      </c>
      <c r="B2" s="2">
        <v>21</v>
      </c>
      <c r="C2" s="2" t="s">
        <v>140</v>
      </c>
    </row>
    <row r="3" ht="24" customHeight="1" spans="1:3">
      <c r="A3" s="2" t="s">
        <v>141</v>
      </c>
      <c r="B3" s="2">
        <v>55</v>
      </c>
      <c r="C3" s="2" t="s">
        <v>140</v>
      </c>
    </row>
    <row r="4" ht="24" hidden="1" customHeight="1" spans="1:3">
      <c r="A4" s="3" t="s">
        <v>142</v>
      </c>
      <c r="B4" s="3">
        <v>10</v>
      </c>
      <c r="C4" s="3" t="s">
        <v>143</v>
      </c>
    </row>
    <row r="5" ht="24" hidden="1" customHeight="1" spans="1:3">
      <c r="A5" s="3" t="s">
        <v>144</v>
      </c>
      <c r="B5" s="3">
        <v>5</v>
      </c>
      <c r="C5" s="3" t="s">
        <v>143</v>
      </c>
    </row>
    <row r="6" ht="24" customHeight="1" spans="1:3">
      <c r="A6" s="2" t="s">
        <v>145</v>
      </c>
      <c r="B6" s="2">
        <v>60</v>
      </c>
      <c r="C6" s="2" t="s">
        <v>146</v>
      </c>
    </row>
    <row r="7" ht="24" customHeight="1" spans="1:3">
      <c r="A7" s="2" t="s">
        <v>147</v>
      </c>
      <c r="B7" s="2">
        <v>0.8</v>
      </c>
      <c r="C7" s="2" t="s">
        <v>148</v>
      </c>
    </row>
    <row r="8" ht="24" customHeight="1" spans="1:3">
      <c r="A8" s="2" t="s">
        <v>44</v>
      </c>
      <c r="B8" s="2">
        <v>0.1</v>
      </c>
      <c r="C8" s="2" t="s">
        <v>148</v>
      </c>
    </row>
    <row r="9" ht="24" customHeight="1" spans="1:3">
      <c r="A9" s="2" t="s">
        <v>45</v>
      </c>
      <c r="B9" s="2">
        <v>0.2</v>
      </c>
      <c r="C9" s="2" t="s">
        <v>148</v>
      </c>
    </row>
    <row r="10" ht="24" customHeight="1" spans="1:3">
      <c r="A10" s="2" t="s">
        <v>149</v>
      </c>
      <c r="B10" s="2">
        <v>0.7</v>
      </c>
      <c r="C10" s="2"/>
    </row>
    <row r="11" ht="24" customHeight="1" spans="1:3">
      <c r="A11" s="2" t="s">
        <v>150</v>
      </c>
      <c r="B11" s="2">
        <v>0.8</v>
      </c>
      <c r="C11" s="2"/>
    </row>
    <row r="12" ht="24" customHeight="1" spans="1:3">
      <c r="A12" s="2" t="s">
        <v>151</v>
      </c>
      <c r="B12" s="2">
        <v>30</v>
      </c>
      <c r="C12" s="2" t="s">
        <v>146</v>
      </c>
    </row>
    <row r="13" ht="24" customHeight="1" spans="1:3">
      <c r="A13" s="2" t="s">
        <v>152</v>
      </c>
      <c r="B13" s="2">
        <v>200</v>
      </c>
      <c r="C13" s="2"/>
    </row>
    <row r="14" ht="24" customHeight="1" spans="1:3">
      <c r="A14" s="2" t="s">
        <v>153</v>
      </c>
      <c r="B14" s="2">
        <v>1.5</v>
      </c>
      <c r="C14" s="2"/>
    </row>
    <row r="15" ht="24" customHeight="1" spans="1:3">
      <c r="A15" s="2" t="s">
        <v>154</v>
      </c>
      <c r="B15" s="2">
        <v>10000</v>
      </c>
      <c r="C15" s="2" t="s">
        <v>155</v>
      </c>
    </row>
    <row r="16" ht="24" customHeight="1" spans="1:3">
      <c r="A16" s="2" t="s">
        <v>156</v>
      </c>
      <c r="B16" s="2">
        <v>20000</v>
      </c>
      <c r="C16" s="2" t="s">
        <v>157</v>
      </c>
    </row>
    <row r="17" ht="24" customHeight="1" spans="1:10">
      <c r="A17" s="2" t="s">
        <v>158</v>
      </c>
      <c r="B17" s="2">
        <v>200</v>
      </c>
      <c r="C17" s="2" t="s">
        <v>157</v>
      </c>
    </row>
    <row r="18" ht="24" customHeight="1" spans="1:10">
      <c r="A18" s="2" t="s">
        <v>159</v>
      </c>
      <c r="B18" s="2">
        <v>200</v>
      </c>
      <c r="C18" s="2" t="s">
        <v>157</v>
      </c>
    </row>
    <row r="19" ht="24" customHeight="1" spans="1:10">
      <c r="A19" s="2" t="s">
        <v>160</v>
      </c>
      <c r="B19" s="2">
        <v>300</v>
      </c>
      <c r="C19" s="2" t="s">
        <v>157</v>
      </c>
    </row>
    <row r="20" ht="24" customHeight="1" spans="1:10">
      <c r="A20" s="2" t="s">
        <v>161</v>
      </c>
      <c r="B20" s="2">
        <v>0.65</v>
      </c>
      <c r="C20" s="2" t="s">
        <v>162</v>
      </c>
    </row>
    <row r="23" ht="30" customHeight="1" spans="1:10">
      <c r="A23" s="1" t="s">
        <v>163</v>
      </c>
      <c r="B23" s="1"/>
      <c r="C23" s="1"/>
      <c r="D23" s="1"/>
      <c r="E23" s="1"/>
      <c r="F23" s="1"/>
      <c r="G23" s="1"/>
      <c r="H23" s="1"/>
      <c r="I23" s="1"/>
      <c r="J23" s="1"/>
    </row>
    <row r="24" ht="30" customHeight="1" spans="1:10">
      <c r="A24" s="4" t="s">
        <v>164</v>
      </c>
      <c r="B24" s="4"/>
      <c r="C24" s="4"/>
      <c r="D24" s="4"/>
      <c r="E24" s="4"/>
      <c r="F24" s="4"/>
      <c r="G24" s="4"/>
      <c r="H24" s="4"/>
      <c r="I24" s="4"/>
      <c r="J24" s="4"/>
    </row>
    <row r="25" ht="30" customHeight="1" spans="1:10">
      <c r="A25" s="4" t="s">
        <v>165</v>
      </c>
      <c r="B25" s="4"/>
      <c r="C25" s="4"/>
      <c r="D25" s="4"/>
      <c r="E25" s="4"/>
      <c r="F25" s="4"/>
      <c r="G25" s="4"/>
      <c r="H25" s="4"/>
      <c r="I25" s="4"/>
      <c r="J25" s="4"/>
    </row>
    <row r="26" ht="30" customHeight="1" spans="1:10">
      <c r="A26" s="4" t="s">
        <v>166</v>
      </c>
      <c r="B26" s="4"/>
      <c r="C26" s="4"/>
      <c r="D26" s="4"/>
      <c r="E26" s="4"/>
      <c r="F26" s="4"/>
      <c r="G26" s="4"/>
      <c r="H26" s="4"/>
      <c r="I26" s="4"/>
      <c r="J26" s="4"/>
    </row>
    <row r="27" ht="30" customHeight="1" spans="1:10">
      <c r="A27" s="4" t="s">
        <v>167</v>
      </c>
      <c r="B27" s="4"/>
      <c r="C27" s="4"/>
      <c r="D27" s="4"/>
      <c r="E27" s="4"/>
      <c r="F27" s="4"/>
      <c r="G27" s="4"/>
      <c r="H27" s="4"/>
      <c r="I27" s="4"/>
      <c r="J27" s="4"/>
    </row>
    <row r="28" ht="30" customHeight="1" spans="1:10">
      <c r="A28" s="4" t="s">
        <v>168</v>
      </c>
      <c r="B28" s="4"/>
      <c r="C28" s="4"/>
      <c r="D28" s="4"/>
      <c r="E28" s="4"/>
      <c r="F28" s="4"/>
      <c r="G28" s="4"/>
      <c r="H28" s="4"/>
      <c r="I28" s="4"/>
      <c r="J28" s="4"/>
    </row>
    <row r="29" ht="30" customHeight="1" spans="1:10">
      <c r="A29" s="4" t="s">
        <v>169</v>
      </c>
      <c r="B29" s="4"/>
      <c r="C29" s="4"/>
      <c r="D29" s="4"/>
      <c r="E29" s="4"/>
      <c r="F29" s="4"/>
      <c r="G29" s="4"/>
      <c r="H29" s="4"/>
      <c r="I29" s="4"/>
      <c r="J29" s="4"/>
    </row>
    <row r="30" ht="30" customHeight="1" spans="1:10">
      <c r="A30" s="4" t="s">
        <v>170</v>
      </c>
      <c r="B30" s="4"/>
      <c r="C30" s="4"/>
      <c r="D30" s="4"/>
      <c r="E30" s="4"/>
      <c r="F30" s="4"/>
      <c r="G30" s="4"/>
      <c r="H30" s="4"/>
      <c r="I30" s="4"/>
      <c r="J30" s="4"/>
    </row>
  </sheetData>
  <mergeCells count="8">
    <mergeCell ref="A23:J23"/>
    <mergeCell ref="A24:J24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抖音大号维护标准</vt:lpstr>
      <vt:lpstr>抖音小号维护标准</vt:lpstr>
      <vt:lpstr>维护参数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</cp:lastModifiedBy>
  <dcterms:created xsi:type="dcterms:W3CDTF">2026-09-17T01:56:00Z</dcterms:created>
  <dcterms:modified xsi:type="dcterms:W3CDTF">2026-09-16T19:47:28Z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0558D5A29AE5A0E5CF81AA6A74D675EE_42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